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inaya\Downloads\"/>
    </mc:Choice>
  </mc:AlternateContent>
  <xr:revisionPtr revIDLastSave="0" documentId="13_ncr:1_{CA6FEAE4-ECB6-4197-8889-90D826C4D3DA}" xr6:coauthVersionLast="47" xr6:coauthVersionMax="47" xr10:uidLastSave="{00000000-0000-0000-0000-000000000000}"/>
  <bookViews>
    <workbookView xWindow="-108" yWindow="-108" windowWidth="23256" windowHeight="12456" xr2:uid="{5172002C-9A6B-4438-BEF0-F7C7640F6E4F}"/>
  </bookViews>
  <sheets>
    <sheet name="Sales Data" sheetId="1" r:id="rId1"/>
    <sheet name="Dashboard" sheetId="15" r:id="rId2"/>
  </sheets>
  <definedNames>
    <definedName name="Slicer_Country">#N/A</definedName>
    <definedName name="Slicer_Month">#N/A</definedName>
    <definedName name="Slicer_Year">#N/A</definedName>
  </definedNames>
  <calcPr calcId="191029"/>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 r="H3" i="1"/>
  <c r="H2" i="1"/>
</calcChain>
</file>

<file path=xl/sharedStrings.xml><?xml version="1.0" encoding="utf-8"?>
<sst xmlns="http://schemas.openxmlformats.org/spreadsheetml/2006/main" count="6317" uniqueCount="306">
  <si>
    <t>Segment</t>
  </si>
  <si>
    <t>Customer_ID</t>
  </si>
  <si>
    <t>Product_ID</t>
  </si>
  <si>
    <t>Discount Band</t>
  </si>
  <si>
    <t>Units Sold</t>
  </si>
  <si>
    <t>Sale Price</t>
  </si>
  <si>
    <t>Discounts</t>
  </si>
  <si>
    <t>Sales</t>
  </si>
  <si>
    <t>Profit</t>
  </si>
  <si>
    <t>Date</t>
  </si>
  <si>
    <t>Month</t>
  </si>
  <si>
    <t>Quarter</t>
  </si>
  <si>
    <t>Year</t>
  </si>
  <si>
    <t>Customer_Name</t>
  </si>
  <si>
    <t>Product_Name</t>
  </si>
  <si>
    <t>Country</t>
  </si>
  <si>
    <t>Enterprise</t>
  </si>
  <si>
    <t>CUST_ID_001</t>
  </si>
  <si>
    <t>PROD_ID_001</t>
  </si>
  <si>
    <t>None</t>
  </si>
  <si>
    <t>Sep</t>
  </si>
  <si>
    <t>Q3</t>
  </si>
  <si>
    <t>James Smith</t>
  </si>
  <si>
    <t>Montana</t>
  </si>
  <si>
    <t>USA</t>
  </si>
  <si>
    <t>Midmarket</t>
  </si>
  <si>
    <t>CUST_ID_002</t>
  </si>
  <si>
    <t>PROD_ID_002</t>
  </si>
  <si>
    <t>Jan</t>
  </si>
  <si>
    <t>Q1</t>
  </si>
  <si>
    <t>Emma Johnson</t>
  </si>
  <si>
    <t>Paseo</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</si>
  <si>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</si>
  <si>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</si>
  <si>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</si>
  <si>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</si>
  <si>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</si>
  <si>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</si>
  <si>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</si>
  <si>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</si>
  <si>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</si>
  <si>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</si>
  <si>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</si>
  <si>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</si>
  <si>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</si>
  <si>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</si>
  <si>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</si>
  <si>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</si>
  <si>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</si>
  <si>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</si>
  <si>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</si>
  <si>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</si>
  <si>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</si>
  <si>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</si>
  <si>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</si>
  <si>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</si>
  <si>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</si>
  <si>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</si>
  <si>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</si>
  <si>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</si>
  <si>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</si>
  <si>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</si>
  <si>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</si>
  <si>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</si>
  <si>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</si>
  <si>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</si>
  <si>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</si>
  <si>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</si>
  <si>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</si>
  <si>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</si>
  <si>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</si>
  <si>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</si>
  <si>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</si>
  <si>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</si>
  <si>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</si>
  <si>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</si>
  <si>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</si>
  <si>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</si>
  <si>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</si>
  <si>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</si>
  <si>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</si>
  <si>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</si>
  <si>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</si>
  <si>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</si>
  <si>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</si>
  <si>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</si>
  <si>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</si>
  <si>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</si>
  <si>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</si>
  <si>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</si>
  <si>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</si>
  <si>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</si>
  <si>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Amarilla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</si>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</sst>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00_ ;_ * \-#,##0.00_ ;_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E6F7F7"/>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5">
    <xf numFmtId="0" fontId="0" fillId="0" borderId="0" xfId="0"/>
    <xf numFmtId="0" fontId="2" fillId="2" borderId="0" xfId="0" applyFont="1" applyFill="1"/>
    <xf numFmtId="164" fontId="0" fillId="0" borderId="0" xfId="1" applyFont="1"/>
    <xf numFmtId="14" fontId="0" fillId="0" borderId="0" xfId="0" applyNumberFormat="1"/>
    <xf numFmtId="0" fontId="0" fillId="3" borderId="0" xfId="0" applyFill="1"/>
  </cellXfs>
  <cellStyles count="2">
    <cellStyle name="Comma" xfId="1" builtinId="3"/>
    <cellStyle name="Normal" xfId="0" builtinId="0"/>
  </cellStyles>
  <dxfs count="15">
    <dxf>
      <fill>
        <patternFill>
          <bgColor rgb="FF009999"/>
        </patternFill>
      </fill>
    </dxf>
    <dxf>
      <fill>
        <patternFill patternType="solid">
          <fgColor rgb="FF009999"/>
        </patternFill>
      </fill>
    </dxf>
    <dxf>
      <fill>
        <patternFill patternType="solid">
          <fgColor rgb="FF009999"/>
        </patternFill>
      </fill>
    </dxf>
    <dxf>
      <fill>
        <patternFill>
          <fgColor rgb="FF009999"/>
        </patternFill>
      </fill>
    </dxf>
    <dxf>
      <numFmt numFmtId="0" formatCode="General"/>
    </dxf>
    <dxf>
      <numFmt numFmtId="0" formatCode="General"/>
    </dxf>
    <dxf>
      <numFmt numFmtId="0" formatCode="General"/>
    </dxf>
    <dxf>
      <numFmt numFmtId="0" formatCode="General"/>
    </dxf>
    <dxf>
      <numFmt numFmtId="0" formatCode="General"/>
    </dxf>
    <dxf>
      <numFmt numFmtId="165"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FFFF00"/>
        </patternFill>
      </fill>
    </dxf>
  </dxfs>
  <tableStyles count="4" defaultTableStyle="TableStyleMedium2" defaultPivotStyle="PivotStyleLight16">
    <tableStyle name="Slicer Style 1" pivot="0" table="0" count="1" xr9:uid="{0550DEB7-6391-4265-90ED-075B79ED60CE}">
      <tableStyleElement type="headerRow" dxfId="3"/>
    </tableStyle>
    <tableStyle name="Slicer Style 2" pivot="0" table="0" count="1" xr9:uid="{FA02B953-FFD0-461E-8C7B-D0587D6350A6}">
      <tableStyleElement type="wholeTable" dxfId="2"/>
    </tableStyle>
    <tableStyle name="Slicer Style 3" pivot="0" table="0" count="1" xr9:uid="{DA025EC5-F779-4422-9ABF-078138844BBC}">
      <tableStyleElement type="wholeTable" dxfId="1"/>
    </tableStyle>
    <tableStyle name="Slicer Style 4" pivot="0" table="0" count="1" xr9:uid="{0398002D-6869-4BCE-98E2-D7852B11D51F}">
      <tableStyleElement type="wholeTable" dxfId="0"/>
    </tableStyle>
  </tableStyles>
  <colors>
    <mruColors>
      <color rgb="FF009999"/>
      <color rgb="FFEAF4F1"/>
      <color rgb="FFE6F7F7"/>
      <color rgb="FF003333"/>
      <color rgb="FF2F2F2F"/>
      <color rgb="FFF2F2F2"/>
      <color rgb="FF0BC1A3"/>
      <color rgb="FF009900"/>
      <color rgb="FFFFE4C4"/>
      <color rgb="FFA0522D"/>
    </mruColors>
  </colors>
  <extLst>
    <ext xmlns:x14="http://schemas.microsoft.com/office/spreadsheetml/2009/9/main" uri="{EB79DEF2-80B8-43e5-95BD-54CBDDF9020C}">
      <x14:slicerStyles defaultSlicerStyle="Slicer Style 4">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4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84275562160889"/>
          <c:y val="0.32906171599636763"/>
          <c:w val="0.86387403452507661"/>
          <c:h val="0.48781908466854434"/>
        </c:manualLayout>
      </c:layout>
      <c:barChart>
        <c:barDir val="col"/>
        <c:grouping val="clustered"/>
        <c:varyColors val="0"/>
        <c:ser>
          <c:idx val="0"/>
          <c:order val="0"/>
          <c:tx>
            <c:v>Total</c:v>
          </c:tx>
          <c:spPr>
            <a:solidFill>
              <a:srgbClr val="FFE4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Canada</c:v>
              </c:pt>
              <c:pt idx="1">
                <c:v>England</c:v>
              </c:pt>
              <c:pt idx="2">
                <c:v>France</c:v>
              </c:pt>
              <c:pt idx="3">
                <c:v>Germany</c:v>
              </c:pt>
              <c:pt idx="4">
                <c:v>India</c:v>
              </c:pt>
              <c:pt idx="5">
                <c:v>Italy</c:v>
              </c:pt>
              <c:pt idx="6">
                <c:v>Japan</c:v>
              </c:pt>
              <c:pt idx="7">
                <c:v>USA</c:v>
              </c:pt>
            </c:strLit>
          </c:cat>
          <c:val>
            <c:numLit>
              <c:formatCode>General</c:formatCode>
              <c:ptCount val="8"/>
              <c:pt idx="0">
                <c:v>4.5311642002920718E-2</c:v>
              </c:pt>
              <c:pt idx="1">
                <c:v>8.0389364127457355E-2</c:v>
              </c:pt>
              <c:pt idx="2">
                <c:v>0.1069530782685071</c:v>
              </c:pt>
              <c:pt idx="3">
                <c:v>9.050575435842062E-2</c:v>
              </c:pt>
              <c:pt idx="4">
                <c:v>0.28183068320290094</c:v>
              </c:pt>
              <c:pt idx="5">
                <c:v>9.0508868519156745E-3</c:v>
              </c:pt>
              <c:pt idx="6">
                <c:v>0.37733790549120572</c:v>
              </c:pt>
              <c:pt idx="7">
                <c:v>8.6206856966719522E-3</c:v>
              </c:pt>
            </c:numLit>
          </c:val>
          <c:extLst>
            <c:ext xmlns:c16="http://schemas.microsoft.com/office/drawing/2014/chart" uri="{C3380CC4-5D6E-409C-BE32-E72D297353CC}">
              <c16:uniqueId val="{00000000-535D-459A-9B0F-8B676F6BBDD8}"/>
            </c:ext>
          </c:extLst>
        </c:ser>
        <c:dLbls>
          <c:dLblPos val="outEnd"/>
          <c:showLegendKey val="0"/>
          <c:showVal val="1"/>
          <c:showCatName val="0"/>
          <c:showSerName val="0"/>
          <c:showPercent val="0"/>
          <c:showBubbleSize val="0"/>
        </c:dLbls>
        <c:gapWidth val="219"/>
        <c:overlap val="-27"/>
        <c:axId val="1022475888"/>
        <c:axId val="1022476848"/>
      </c:barChart>
      <c:catAx>
        <c:axId val="102247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2476848"/>
        <c:crosses val="autoZero"/>
        <c:auto val="1"/>
        <c:lblAlgn val="ctr"/>
        <c:lblOffset val="100"/>
        <c:noMultiLvlLbl val="0"/>
      </c:catAx>
      <c:valAx>
        <c:axId val="102247684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247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E4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5340732774668"/>
          <c:y val="0.29288063370082579"/>
          <c:w val="0.86841175593764408"/>
          <c:h val="0.56750673000064322"/>
        </c:manualLayout>
      </c:layout>
      <c:barChart>
        <c:barDir val="col"/>
        <c:grouping val="clustered"/>
        <c:varyColors val="0"/>
        <c:ser>
          <c:idx val="0"/>
          <c:order val="0"/>
          <c:tx>
            <c:v>Total</c:v>
          </c:tx>
          <c:spPr>
            <a:solidFill>
              <a:srgbClr val="FFE4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Channel Partners</c:v>
              </c:pt>
              <c:pt idx="1">
                <c:v>Enterprise</c:v>
              </c:pt>
              <c:pt idx="2">
                <c:v>Government</c:v>
              </c:pt>
              <c:pt idx="3">
                <c:v>Midmarket</c:v>
              </c:pt>
              <c:pt idx="4">
                <c:v>Small Business</c:v>
              </c:pt>
            </c:strLit>
          </c:cat>
          <c:val>
            <c:numLit>
              <c:formatCode>General</c:formatCode>
              <c:ptCount val="5"/>
              <c:pt idx="0">
                <c:v>1.5165914188862551E-2</c:v>
              </c:pt>
              <c:pt idx="1">
                <c:v>0.16518400786390008</c:v>
              </c:pt>
              <c:pt idx="2">
                <c:v>0.44222921495540313</c:v>
              </c:pt>
              <c:pt idx="3">
                <c:v>2.0061958190274443E-2</c:v>
              </c:pt>
              <c:pt idx="4">
                <c:v>0.35735890480155985</c:v>
              </c:pt>
            </c:numLit>
          </c:val>
          <c:extLst>
            <c:ext xmlns:c16="http://schemas.microsoft.com/office/drawing/2014/chart" uri="{C3380CC4-5D6E-409C-BE32-E72D297353CC}">
              <c16:uniqueId val="{00000000-CDD7-4BF3-BEF3-FC968DDD00CC}"/>
            </c:ext>
          </c:extLst>
        </c:ser>
        <c:dLbls>
          <c:dLblPos val="outEnd"/>
          <c:showLegendKey val="0"/>
          <c:showVal val="1"/>
          <c:showCatName val="0"/>
          <c:showSerName val="0"/>
          <c:showPercent val="0"/>
          <c:showBubbleSize val="0"/>
        </c:dLbls>
        <c:gapWidth val="219"/>
        <c:overlap val="-27"/>
        <c:axId val="1022466288"/>
        <c:axId val="1022490288"/>
      </c:barChart>
      <c:catAx>
        <c:axId val="1022466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2490288"/>
        <c:crosses val="autoZero"/>
        <c:auto val="1"/>
        <c:lblAlgn val="ctr"/>
        <c:lblOffset val="100"/>
        <c:noMultiLvlLbl val="0"/>
      </c:catAx>
      <c:valAx>
        <c:axId val="10224902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246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10870125.609999999</c:v>
              </c:pt>
              <c:pt idx="1">
                <c:v>6964945.1249999991</c:v>
              </c:pt>
              <c:pt idx="2">
                <c:v>8188402</c:v>
              </c:pt>
              <c:pt idx="3">
                <c:v>11001632.279999997</c:v>
              </c:pt>
              <c:pt idx="4">
                <c:v>11253334.614999996</c:v>
              </c:pt>
              <c:pt idx="5">
                <c:v>10844099.65</c:v>
              </c:pt>
              <c:pt idx="6">
                <c:v>13152143.790000003</c:v>
              </c:pt>
              <c:pt idx="7">
                <c:v>11259071.219999999</c:v>
              </c:pt>
              <c:pt idx="8">
                <c:v>9120754.1449999977</c:v>
              </c:pt>
              <c:pt idx="9">
                <c:v>6777940.169999999</c:v>
              </c:pt>
              <c:pt idx="10">
                <c:v>7978278.3199999984</c:v>
              </c:pt>
              <c:pt idx="11">
                <c:v>11315623.334999997</c:v>
              </c:pt>
            </c:numLit>
          </c:val>
          <c:smooth val="0"/>
          <c:extLst>
            <c:ext xmlns:c16="http://schemas.microsoft.com/office/drawing/2014/chart" uri="{C3380CC4-5D6E-409C-BE32-E72D297353CC}">
              <c16:uniqueId val="{00000000-1666-4714-9762-A9CB4C0CDC40}"/>
            </c:ext>
          </c:extLst>
        </c:ser>
        <c:dLbls>
          <c:showLegendKey val="0"/>
          <c:showVal val="0"/>
          <c:showCatName val="0"/>
          <c:showSerName val="0"/>
          <c:showPercent val="0"/>
          <c:showBubbleSize val="0"/>
        </c:dLbls>
        <c:smooth val="0"/>
        <c:axId val="1906987152"/>
        <c:axId val="1906988112"/>
      </c:lineChart>
      <c:catAx>
        <c:axId val="190698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6988112"/>
        <c:crosses val="autoZero"/>
        <c:auto val="1"/>
        <c:lblAlgn val="ctr"/>
        <c:lblOffset val="100"/>
        <c:noMultiLvlLbl val="0"/>
      </c:catAx>
      <c:valAx>
        <c:axId val="190698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698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4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E4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50284670954926"/>
          <c:y val="0.17492883871174081"/>
          <c:w val="0.77057326468280718"/>
          <c:h val="0.58148302458597667"/>
        </c:manualLayout>
      </c:layout>
      <c:barChart>
        <c:barDir val="col"/>
        <c:grouping val="clustered"/>
        <c:varyColors val="0"/>
        <c:ser>
          <c:idx val="0"/>
          <c:order val="0"/>
          <c:tx>
            <c:v>Total</c:v>
          </c:tx>
          <c:spPr>
            <a:solidFill>
              <a:srgbClr val="FFE4C4"/>
            </a:solidFill>
            <a:ln>
              <a:noFill/>
            </a:ln>
            <a:effectLst/>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17747116.059999999</c:v>
              </c:pt>
              <c:pt idx="1">
                <c:v>13815307.885</c:v>
              </c:pt>
              <c:pt idx="2">
                <c:v>15390801.880000003</c:v>
              </c:pt>
              <c:pt idx="3">
                <c:v>33011143.950000014</c:v>
              </c:pt>
              <c:pt idx="4">
                <c:v>18250059.465000004</c:v>
              </c:pt>
              <c:pt idx="5">
                <c:v>20511921.020000003</c:v>
              </c:pt>
            </c:numLit>
          </c:val>
          <c:extLst>
            <c:ext xmlns:c16="http://schemas.microsoft.com/office/drawing/2014/chart" uri="{C3380CC4-5D6E-409C-BE32-E72D297353CC}">
              <c16:uniqueId val="{00000000-AA1B-47E5-B50C-0BC79B637789}"/>
            </c:ext>
          </c:extLst>
        </c:ser>
        <c:dLbls>
          <c:showLegendKey val="0"/>
          <c:showVal val="0"/>
          <c:showCatName val="0"/>
          <c:showSerName val="0"/>
          <c:showPercent val="0"/>
          <c:showBubbleSize val="0"/>
        </c:dLbls>
        <c:gapWidth val="219"/>
        <c:overlap val="-27"/>
        <c:axId val="802439551"/>
        <c:axId val="802429951"/>
      </c:barChart>
      <c:catAx>
        <c:axId val="80243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2429951"/>
        <c:crosses val="autoZero"/>
        <c:auto val="1"/>
        <c:lblAlgn val="ctr"/>
        <c:lblOffset val="100"/>
        <c:noMultiLvlLbl val="0"/>
      </c:catAx>
      <c:valAx>
        <c:axId val="80242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243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222738</xdr:colOff>
      <xdr:row>0</xdr:row>
      <xdr:rowOff>164123</xdr:rowOff>
    </xdr:from>
    <xdr:to>
      <xdr:col>4</xdr:col>
      <xdr:colOff>11723</xdr:colOff>
      <xdr:row>17</xdr:row>
      <xdr:rowOff>11724</xdr:rowOff>
    </xdr:to>
    <xdr:sp macro="" textlink="">
      <xdr:nvSpPr>
        <xdr:cNvPr id="2" name="Rectangle: Rounded Corners 1">
          <a:extLst>
            <a:ext uri="{FF2B5EF4-FFF2-40B4-BE49-F238E27FC236}">
              <a16:creationId xmlns:a16="http://schemas.microsoft.com/office/drawing/2014/main" id="{6427C1CB-2F54-037A-9D79-FA6E71B2FA94}"/>
            </a:ext>
          </a:extLst>
        </xdr:cNvPr>
        <xdr:cNvSpPr/>
      </xdr:nvSpPr>
      <xdr:spPr>
        <a:xfrm>
          <a:off x="222738" y="164123"/>
          <a:ext cx="2227385" cy="3036278"/>
        </a:xfrm>
        <a:prstGeom prst="roundRect">
          <a:avLst/>
        </a:prstGeom>
        <a:solidFill>
          <a:srgbClr val="009999"/>
        </a:solidFill>
        <a:effectLst>
          <a:glow rad="101600">
            <a:srgbClr val="00B050">
              <a:alpha val="40000"/>
            </a:srgbClr>
          </a:glow>
          <a:outerShdw blurRad="50800" dist="50800" dir="5400000" algn="ctr" rotWithShape="0">
            <a:srgbClr val="000000">
              <a:alpha val="8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290331</xdr:colOff>
      <xdr:row>0</xdr:row>
      <xdr:rowOff>173334</xdr:rowOff>
    </xdr:from>
    <xdr:to>
      <xdr:col>33</xdr:col>
      <xdr:colOff>76200</xdr:colOff>
      <xdr:row>8</xdr:row>
      <xdr:rowOff>152400</xdr:rowOff>
    </xdr:to>
    <xdr:sp macro="" textlink="">
      <xdr:nvSpPr>
        <xdr:cNvPr id="3" name="Rectangle: Rounded Corners 2">
          <a:extLst>
            <a:ext uri="{FF2B5EF4-FFF2-40B4-BE49-F238E27FC236}">
              <a16:creationId xmlns:a16="http://schemas.microsoft.com/office/drawing/2014/main" id="{BC36590F-E6F8-608B-06FD-51279D0EBBEE}"/>
            </a:ext>
          </a:extLst>
        </xdr:cNvPr>
        <xdr:cNvSpPr/>
      </xdr:nvSpPr>
      <xdr:spPr>
        <a:xfrm>
          <a:off x="2728731" y="173334"/>
          <a:ext cx="17464269" cy="1459523"/>
        </a:xfrm>
        <a:prstGeom prst="roundRect">
          <a:avLst/>
        </a:prstGeom>
        <a:solidFill>
          <a:srgbClr val="009999"/>
        </a:solidFill>
        <a:effectLst>
          <a:glow rad="101600">
            <a:srgbClr val="00B050">
              <a:alpha val="40000"/>
            </a:srgbClr>
          </a:glow>
          <a:outerShdw blurRad="50800" dist="50800" dir="5400000" algn="ctr" rotWithShape="0">
            <a:srgbClr val="000000">
              <a:alpha val="8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6600"/>
            <a:t>                 </a:t>
          </a:r>
          <a:r>
            <a:rPr lang="en-US" sz="6600">
              <a:latin typeface="Algerian" panose="04020705040A02060702" pitchFamily="82" charset="0"/>
            </a:rPr>
            <a:t>Sales</a:t>
          </a:r>
          <a:r>
            <a:rPr lang="en-US" sz="6600" baseline="0">
              <a:latin typeface="Algerian" panose="04020705040A02060702" pitchFamily="82" charset="0"/>
            </a:rPr>
            <a:t> Dashboard 2025 </a:t>
          </a:r>
          <a:endParaRPr lang="en-US" sz="6600">
            <a:latin typeface="Algerian" panose="04020705040A02060702" pitchFamily="82" charset="0"/>
          </a:endParaRPr>
        </a:p>
      </xdr:txBody>
    </xdr:sp>
    <xdr:clientData/>
  </xdr:twoCellAnchor>
  <xdr:twoCellAnchor>
    <xdr:from>
      <xdr:col>4</xdr:col>
      <xdr:colOff>298606</xdr:colOff>
      <xdr:row>9</xdr:row>
      <xdr:rowOff>179658</xdr:rowOff>
    </xdr:from>
    <xdr:to>
      <xdr:col>10</xdr:col>
      <xdr:colOff>260196</xdr:colOff>
      <xdr:row>16</xdr:row>
      <xdr:rowOff>54429</xdr:rowOff>
    </xdr:to>
    <xdr:sp macro="" textlink="">
      <xdr:nvSpPr>
        <xdr:cNvPr id="4" name="Rectangle: Rounded Corners 3">
          <a:extLst>
            <a:ext uri="{FF2B5EF4-FFF2-40B4-BE49-F238E27FC236}">
              <a16:creationId xmlns:a16="http://schemas.microsoft.com/office/drawing/2014/main" id="{465A146C-5231-492F-9AE3-1BB5C2F279D6}"/>
            </a:ext>
          </a:extLst>
        </xdr:cNvPr>
        <xdr:cNvSpPr/>
      </xdr:nvSpPr>
      <xdr:spPr>
        <a:xfrm>
          <a:off x="2737006" y="1845172"/>
          <a:ext cx="3619190" cy="1170171"/>
        </a:xfrm>
        <a:prstGeom prst="roundRect">
          <a:avLst/>
        </a:prstGeom>
        <a:solidFill>
          <a:srgbClr val="009999"/>
        </a:solidFill>
        <a:effectLst>
          <a:glow rad="101600">
            <a:srgbClr val="00B050">
              <a:alpha val="40000"/>
            </a:srgbClr>
          </a:glow>
          <a:outerShdw blurRad="50800" dist="50800" dir="5400000" algn="ctr" rotWithShape="0">
            <a:srgbClr val="000000">
              <a:alpha val="8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233623</xdr:colOff>
      <xdr:row>18</xdr:row>
      <xdr:rowOff>31819</xdr:rowOff>
    </xdr:from>
    <xdr:to>
      <xdr:col>4</xdr:col>
      <xdr:colOff>22608</xdr:colOff>
      <xdr:row>35</xdr:row>
      <xdr:rowOff>87086</xdr:rowOff>
    </xdr:to>
    <xdr:sp macro="" textlink="">
      <xdr:nvSpPr>
        <xdr:cNvPr id="5" name="Rectangle: Rounded Corners 4">
          <a:extLst>
            <a:ext uri="{FF2B5EF4-FFF2-40B4-BE49-F238E27FC236}">
              <a16:creationId xmlns:a16="http://schemas.microsoft.com/office/drawing/2014/main" id="{82D8DDEF-0B41-4546-8664-A04EE8E13A66}"/>
            </a:ext>
          </a:extLst>
        </xdr:cNvPr>
        <xdr:cNvSpPr/>
      </xdr:nvSpPr>
      <xdr:spPr>
        <a:xfrm>
          <a:off x="233623" y="3362848"/>
          <a:ext cx="2227385" cy="3201238"/>
        </a:xfrm>
        <a:prstGeom prst="roundRect">
          <a:avLst/>
        </a:prstGeom>
        <a:solidFill>
          <a:srgbClr val="009999"/>
        </a:solidFill>
        <a:effectLst>
          <a:glow rad="101600">
            <a:srgbClr val="00B050">
              <a:alpha val="40000"/>
            </a:srgbClr>
          </a:glow>
          <a:outerShdw blurRad="50800" dist="50800" dir="5400000" algn="ctr" rotWithShape="0">
            <a:srgbClr val="000000">
              <a:alpha val="8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586994</xdr:colOff>
      <xdr:row>9</xdr:row>
      <xdr:rowOff>172498</xdr:rowOff>
    </xdr:from>
    <xdr:to>
      <xdr:col>26</xdr:col>
      <xdr:colOff>141516</xdr:colOff>
      <xdr:row>22</xdr:row>
      <xdr:rowOff>125606</xdr:rowOff>
    </xdr:to>
    <xdr:sp macro="" textlink="">
      <xdr:nvSpPr>
        <xdr:cNvPr id="9" name="Rectangle: Rounded Corners 8">
          <a:extLst>
            <a:ext uri="{FF2B5EF4-FFF2-40B4-BE49-F238E27FC236}">
              <a16:creationId xmlns:a16="http://schemas.microsoft.com/office/drawing/2014/main" id="{9661203D-3354-41A6-9489-8E28C4AD2ED9}"/>
            </a:ext>
          </a:extLst>
        </xdr:cNvPr>
        <xdr:cNvSpPr/>
      </xdr:nvSpPr>
      <xdr:spPr>
        <a:xfrm>
          <a:off x="10950194" y="1838012"/>
          <a:ext cx="5040922" cy="2358851"/>
        </a:xfrm>
        <a:prstGeom prst="roundRect">
          <a:avLst/>
        </a:prstGeom>
        <a:solidFill>
          <a:srgbClr val="009999"/>
        </a:solidFill>
        <a:effectLst>
          <a:glow rad="101600">
            <a:srgbClr val="00B050">
              <a:alpha val="40000"/>
            </a:srgbClr>
          </a:glow>
          <a:outerShdw blurRad="50800" dist="50800" dir="5400000" algn="ctr" rotWithShape="0">
            <a:srgbClr val="000000">
              <a:alpha val="8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597218</xdr:colOff>
      <xdr:row>10</xdr:row>
      <xdr:rowOff>0</xdr:rowOff>
    </xdr:from>
    <xdr:to>
      <xdr:col>17</xdr:col>
      <xdr:colOff>354169</xdr:colOff>
      <xdr:row>35</xdr:row>
      <xdr:rowOff>150254</xdr:rowOff>
    </xdr:to>
    <xdr:sp macro="" textlink="">
      <xdr:nvSpPr>
        <xdr:cNvPr id="11" name="Rectangle: Rounded Corners 10">
          <a:extLst>
            <a:ext uri="{FF2B5EF4-FFF2-40B4-BE49-F238E27FC236}">
              <a16:creationId xmlns:a16="http://schemas.microsoft.com/office/drawing/2014/main" id="{E81AABE1-FE05-43CA-834E-048B6F7666B7}"/>
            </a:ext>
          </a:extLst>
        </xdr:cNvPr>
        <xdr:cNvSpPr/>
      </xdr:nvSpPr>
      <xdr:spPr>
        <a:xfrm>
          <a:off x="6714683" y="1824507"/>
          <a:ext cx="4039176" cy="4711522"/>
        </a:xfrm>
        <a:prstGeom prst="roundRect">
          <a:avLst/>
        </a:prstGeom>
        <a:solidFill>
          <a:srgbClr val="009999"/>
        </a:solidFill>
        <a:ln>
          <a:noFill/>
        </a:ln>
        <a:effectLst>
          <a:glow rad="101600">
            <a:srgbClr val="00B050">
              <a:alpha val="40000"/>
            </a:srgbClr>
          </a:glow>
          <a:outerShdw blurRad="50800" dist="50800" dir="5400000" algn="ctr" rotWithShape="0">
            <a:srgbClr val="000000">
              <a:alpha val="8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163694</xdr:colOff>
      <xdr:row>10</xdr:row>
      <xdr:rowOff>50536</xdr:rowOff>
    </xdr:from>
    <xdr:to>
      <xdr:col>26</xdr:col>
      <xdr:colOff>17079</xdr:colOff>
      <xdr:row>21</xdr:row>
      <xdr:rowOff>148407</xdr:rowOff>
    </xdr:to>
    <xdr:graphicFrame macro="">
      <xdr:nvGraphicFramePr>
        <xdr:cNvPr id="21" name="Chart 20">
          <a:extLst>
            <a:ext uri="{FF2B5EF4-FFF2-40B4-BE49-F238E27FC236}">
              <a16:creationId xmlns:a16="http://schemas.microsoft.com/office/drawing/2014/main" id="{1726F79C-2155-4875-B405-D322DC0CE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1844</xdr:colOff>
      <xdr:row>2</xdr:row>
      <xdr:rowOff>43544</xdr:rowOff>
    </xdr:from>
    <xdr:to>
      <xdr:col>17</xdr:col>
      <xdr:colOff>279591</xdr:colOff>
      <xdr:row>36</xdr:row>
      <xdr:rowOff>87087</xdr:rowOff>
    </xdr:to>
    <xdr:graphicFrame macro="">
      <xdr:nvGraphicFramePr>
        <xdr:cNvPr id="22" name="Chart 21">
          <a:extLst>
            <a:ext uri="{FF2B5EF4-FFF2-40B4-BE49-F238E27FC236}">
              <a16:creationId xmlns:a16="http://schemas.microsoft.com/office/drawing/2014/main" id="{E382ABFF-F3AA-4B4A-AC70-D2CED9169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381000</xdr:colOff>
      <xdr:row>10</xdr:row>
      <xdr:rowOff>0</xdr:rowOff>
    </xdr:from>
    <xdr:to>
      <xdr:col>33</xdr:col>
      <xdr:colOff>141515</xdr:colOff>
      <xdr:row>35</xdr:row>
      <xdr:rowOff>10886</xdr:rowOff>
    </xdr:to>
    <xdr:sp macro="" textlink="">
      <xdr:nvSpPr>
        <xdr:cNvPr id="26" name="Rectangle: Rounded Corners 25">
          <a:extLst>
            <a:ext uri="{FF2B5EF4-FFF2-40B4-BE49-F238E27FC236}">
              <a16:creationId xmlns:a16="http://schemas.microsoft.com/office/drawing/2014/main" id="{B684DA09-4717-4688-8892-C297286D2AD7}"/>
            </a:ext>
          </a:extLst>
        </xdr:cNvPr>
        <xdr:cNvSpPr/>
      </xdr:nvSpPr>
      <xdr:spPr>
        <a:xfrm>
          <a:off x="16230600" y="1850571"/>
          <a:ext cx="4027715" cy="4637315"/>
        </a:xfrm>
        <a:prstGeom prst="roundRect">
          <a:avLst/>
        </a:prstGeom>
        <a:solidFill>
          <a:srgbClr val="009999"/>
        </a:solidFill>
        <a:effectLst>
          <a:glow rad="101600">
            <a:srgbClr val="00B050">
              <a:alpha val="40000"/>
            </a:srgbClr>
          </a:glow>
          <a:outerShdw blurRad="50800" dist="50800" dir="5400000" algn="ctr" rotWithShape="0">
            <a:srgbClr val="000000">
              <a:alpha val="8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489856</xdr:colOff>
      <xdr:row>10</xdr:row>
      <xdr:rowOff>141514</xdr:rowOff>
    </xdr:from>
    <xdr:to>
      <xdr:col>34</xdr:col>
      <xdr:colOff>163285</xdr:colOff>
      <xdr:row>33</xdr:row>
      <xdr:rowOff>152399</xdr:rowOff>
    </xdr:to>
    <xdr:graphicFrame macro="">
      <xdr:nvGraphicFramePr>
        <xdr:cNvPr id="28" name="Chart 27">
          <a:extLst>
            <a:ext uri="{FF2B5EF4-FFF2-40B4-BE49-F238E27FC236}">
              <a16:creationId xmlns:a16="http://schemas.microsoft.com/office/drawing/2014/main" id="{94187760-6A8A-4A4B-9F15-8D4500C34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555171</xdr:colOff>
      <xdr:row>23</xdr:row>
      <xdr:rowOff>72974</xdr:rowOff>
    </xdr:from>
    <xdr:to>
      <xdr:col>26</xdr:col>
      <xdr:colOff>141515</xdr:colOff>
      <xdr:row>36</xdr:row>
      <xdr:rowOff>32657</xdr:rowOff>
    </xdr:to>
    <xdr:sp macro="" textlink="">
      <xdr:nvSpPr>
        <xdr:cNvPr id="29" name="Rectangle: Rounded Corners 28">
          <a:extLst>
            <a:ext uri="{FF2B5EF4-FFF2-40B4-BE49-F238E27FC236}">
              <a16:creationId xmlns:a16="http://schemas.microsoft.com/office/drawing/2014/main" id="{1BF20F0A-6813-5EB1-2CD2-2FF3E6275ED7}"/>
            </a:ext>
          </a:extLst>
        </xdr:cNvPr>
        <xdr:cNvSpPr/>
      </xdr:nvSpPr>
      <xdr:spPr>
        <a:xfrm>
          <a:off x="10918371" y="4329288"/>
          <a:ext cx="5072744" cy="2365426"/>
        </a:xfrm>
        <a:prstGeom prst="roundRect">
          <a:avLst/>
        </a:prstGeom>
        <a:solidFill>
          <a:srgbClr val="009999"/>
        </a:solidFill>
        <a:effectLst>
          <a:glow rad="101600">
            <a:srgbClr val="00B050">
              <a:alpha val="40000"/>
            </a:srgbClr>
          </a:glow>
          <a:outerShdw blurRad="50800" dist="50800" dir="5400000" algn="ctr" rotWithShape="0">
            <a:srgbClr val="000000">
              <a:alpha val="8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124000</xdr:colOff>
      <xdr:row>23</xdr:row>
      <xdr:rowOff>165338</xdr:rowOff>
    </xdr:from>
    <xdr:to>
      <xdr:col>25</xdr:col>
      <xdr:colOff>392988</xdr:colOff>
      <xdr:row>36</xdr:row>
      <xdr:rowOff>13821</xdr:rowOff>
    </xdr:to>
    <xdr:graphicFrame macro="">
      <xdr:nvGraphicFramePr>
        <xdr:cNvPr id="30" name="Chart 29">
          <a:extLst>
            <a:ext uri="{FF2B5EF4-FFF2-40B4-BE49-F238E27FC236}">
              <a16:creationId xmlns:a16="http://schemas.microsoft.com/office/drawing/2014/main" id="{2B1B821A-10BA-39D8-CCB8-F88CE72A3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239486</xdr:colOff>
      <xdr:row>10</xdr:row>
      <xdr:rowOff>65315</xdr:rowOff>
    </xdr:from>
    <xdr:to>
      <xdr:col>9</xdr:col>
      <xdr:colOff>544286</xdr:colOff>
      <xdr:row>16</xdr:row>
      <xdr:rowOff>10886</xdr:rowOff>
    </xdr:to>
    <xdr:sp macro="" textlink="">
      <xdr:nvSpPr>
        <xdr:cNvPr id="31" name="TextBox 30">
          <a:extLst>
            <a:ext uri="{FF2B5EF4-FFF2-40B4-BE49-F238E27FC236}">
              <a16:creationId xmlns:a16="http://schemas.microsoft.com/office/drawing/2014/main" id="{D07C499D-44FE-837F-1A21-7E47ED225AD5}"/>
            </a:ext>
          </a:extLst>
        </xdr:cNvPr>
        <xdr:cNvSpPr txBox="1"/>
      </xdr:nvSpPr>
      <xdr:spPr>
        <a:xfrm>
          <a:off x="3287486" y="1915886"/>
          <a:ext cx="2743200" cy="1055914"/>
        </a:xfrm>
        <a:prstGeom prst="rect">
          <a:avLst/>
        </a:prstGeom>
        <a:solidFill>
          <a:srgbClr val="0099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800">
              <a:solidFill>
                <a:schemeClr val="bg1"/>
              </a:solidFill>
              <a:effectLst/>
              <a:latin typeface="Algerian" panose="04020705040A02060702" pitchFamily="82" charset="0"/>
              <a:ea typeface="+mn-ea"/>
              <a:cs typeface="+mn-cs"/>
            </a:rPr>
            <a:t>Top 3 Best</a:t>
          </a:r>
          <a:r>
            <a:rPr lang="en-US" sz="2800" baseline="0">
              <a:solidFill>
                <a:schemeClr val="bg1"/>
              </a:solidFill>
              <a:effectLst/>
              <a:latin typeface="Algerian" panose="04020705040A02060702" pitchFamily="82" charset="0"/>
              <a:ea typeface="+mn-ea"/>
              <a:cs typeface="+mn-cs"/>
            </a:rPr>
            <a:t> </a:t>
          </a:r>
          <a:r>
            <a:rPr lang="en-US" sz="2800">
              <a:solidFill>
                <a:schemeClr val="bg1"/>
              </a:solidFill>
              <a:effectLst/>
              <a:latin typeface="Algerian" panose="04020705040A02060702" pitchFamily="82" charset="0"/>
              <a:ea typeface="+mn-ea"/>
              <a:cs typeface="+mn-cs"/>
            </a:rPr>
            <a:t>Costumer</a:t>
          </a:r>
          <a:endParaRPr lang="en-US" sz="2800">
            <a:solidFill>
              <a:schemeClr val="bg1"/>
            </a:solidFill>
            <a:effectLst/>
            <a:latin typeface="Algerian" panose="04020705040A02060702" pitchFamily="82" charset="0"/>
          </a:endParaRPr>
        </a:p>
        <a:p>
          <a:endParaRPr lang="en-US" sz="2800">
            <a:solidFill>
              <a:schemeClr val="bg1"/>
            </a:solidFill>
            <a:latin typeface="Algerian" panose="04020705040A02060702" pitchFamily="82" charset="0"/>
          </a:endParaRPr>
        </a:p>
      </xdr:txBody>
    </xdr:sp>
    <xdr:clientData/>
  </xdr:twoCellAnchor>
  <xdr:twoCellAnchor editAs="oneCell">
    <xdr:from>
      <xdr:col>0</xdr:col>
      <xdr:colOff>396909</xdr:colOff>
      <xdr:row>19</xdr:row>
      <xdr:rowOff>21771</xdr:rowOff>
    </xdr:from>
    <xdr:to>
      <xdr:col>3</xdr:col>
      <xdr:colOff>396909</xdr:colOff>
      <xdr:row>34</xdr:row>
      <xdr:rowOff>76200</xdr:rowOff>
    </xdr:to>
    <mc:AlternateContent xmlns:mc="http://schemas.openxmlformats.org/markup-compatibility/2006" xmlns:a14="http://schemas.microsoft.com/office/drawing/2010/main">
      <mc:Choice Requires="a14">
        <xdr:graphicFrame macro="">
          <xdr:nvGraphicFramePr>
            <xdr:cNvPr id="36" name="Month 1">
              <a:extLst>
                <a:ext uri="{FF2B5EF4-FFF2-40B4-BE49-F238E27FC236}">
                  <a16:creationId xmlns:a16="http://schemas.microsoft.com/office/drawing/2014/main" id="{D3D173ED-E2B4-4E1E-8141-6DAD4646005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96909" y="3537857"/>
              <a:ext cx="1828800" cy="2830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386024</xdr:colOff>
      <xdr:row>1</xdr:row>
      <xdr:rowOff>77037</xdr:rowOff>
    </xdr:from>
    <xdr:to>
      <xdr:col>3</xdr:col>
      <xdr:colOff>386024</xdr:colOff>
      <xdr:row>16</xdr:row>
      <xdr:rowOff>65314</xdr:rowOff>
    </xdr:to>
    <mc:AlternateContent xmlns:mc="http://schemas.openxmlformats.org/markup-compatibility/2006">
      <mc:Choice xmlns:a14="http://schemas.microsoft.com/office/drawing/2010/main" Requires="a14">
        <xdr:graphicFrame macro="">
          <xdr:nvGraphicFramePr>
            <xdr:cNvPr id="37" name="Country 1">
              <a:extLst>
                <a:ext uri="{FF2B5EF4-FFF2-40B4-BE49-F238E27FC236}">
                  <a16:creationId xmlns:a16="http://schemas.microsoft.com/office/drawing/2014/main" id="{EAD935C4-DBD8-4871-9A94-59A5FB52594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386024" y="262094"/>
              <a:ext cx="1828800" cy="2764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265948</xdr:colOff>
      <xdr:row>17</xdr:row>
      <xdr:rowOff>5488</xdr:rowOff>
    </xdr:from>
    <xdr:to>
      <xdr:col>10</xdr:col>
      <xdr:colOff>227538</xdr:colOff>
      <xdr:row>19</xdr:row>
      <xdr:rowOff>174172</xdr:rowOff>
    </xdr:to>
    <xdr:sp macro="" textlink="">
      <xdr:nvSpPr>
        <xdr:cNvPr id="8" name="Rectangle: Rounded Corners 7">
          <a:extLst>
            <a:ext uri="{FF2B5EF4-FFF2-40B4-BE49-F238E27FC236}">
              <a16:creationId xmlns:a16="http://schemas.microsoft.com/office/drawing/2014/main" id="{3FAF55E9-AAAD-4E04-BEBF-0CF9175A25F5}"/>
            </a:ext>
          </a:extLst>
        </xdr:cNvPr>
        <xdr:cNvSpPr/>
      </xdr:nvSpPr>
      <xdr:spPr>
        <a:xfrm>
          <a:off x="2704348" y="3151459"/>
          <a:ext cx="3619190" cy="538799"/>
        </a:xfrm>
        <a:prstGeom prst="roundRect">
          <a:avLst/>
        </a:prstGeom>
        <a:solidFill>
          <a:srgbClr val="009999"/>
        </a:solidFill>
        <a:effectLst>
          <a:glow rad="101600">
            <a:srgbClr val="00B050">
              <a:alpha val="40000"/>
            </a:srgbClr>
          </a:glow>
          <a:outerShdw blurRad="50800" dist="50800" dir="5400000" algn="ctr" rotWithShape="0">
            <a:srgbClr val="000000">
              <a:alpha val="8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265948</xdr:colOff>
      <xdr:row>20</xdr:row>
      <xdr:rowOff>114344</xdr:rowOff>
    </xdr:from>
    <xdr:to>
      <xdr:col>10</xdr:col>
      <xdr:colOff>227538</xdr:colOff>
      <xdr:row>23</xdr:row>
      <xdr:rowOff>97972</xdr:rowOff>
    </xdr:to>
    <xdr:sp macro="" textlink="">
      <xdr:nvSpPr>
        <xdr:cNvPr id="12" name="Rectangle: Rounded Corners 11">
          <a:extLst>
            <a:ext uri="{FF2B5EF4-FFF2-40B4-BE49-F238E27FC236}">
              <a16:creationId xmlns:a16="http://schemas.microsoft.com/office/drawing/2014/main" id="{B5CC0681-2378-4BE5-A1FD-C467462260ED}"/>
            </a:ext>
          </a:extLst>
        </xdr:cNvPr>
        <xdr:cNvSpPr/>
      </xdr:nvSpPr>
      <xdr:spPr>
        <a:xfrm>
          <a:off x="2704348" y="3815487"/>
          <a:ext cx="3619190" cy="538799"/>
        </a:xfrm>
        <a:prstGeom prst="roundRect">
          <a:avLst/>
        </a:prstGeom>
        <a:solidFill>
          <a:srgbClr val="009999"/>
        </a:solidFill>
        <a:effectLst>
          <a:glow rad="101600">
            <a:srgbClr val="00B050">
              <a:alpha val="40000"/>
            </a:srgbClr>
          </a:glow>
          <a:outerShdw blurRad="50800" dist="50800" dir="5400000" algn="ctr" rotWithShape="0">
            <a:srgbClr val="000000">
              <a:alpha val="8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265949</xdr:colOff>
      <xdr:row>24</xdr:row>
      <xdr:rowOff>59916</xdr:rowOff>
    </xdr:from>
    <xdr:to>
      <xdr:col>10</xdr:col>
      <xdr:colOff>227539</xdr:colOff>
      <xdr:row>27</xdr:row>
      <xdr:rowOff>108858</xdr:rowOff>
    </xdr:to>
    <xdr:sp macro="" textlink="">
      <xdr:nvSpPr>
        <xdr:cNvPr id="14" name="Rectangle: Rounded Corners 13">
          <a:extLst>
            <a:ext uri="{FF2B5EF4-FFF2-40B4-BE49-F238E27FC236}">
              <a16:creationId xmlns:a16="http://schemas.microsoft.com/office/drawing/2014/main" id="{5A49F939-DA93-47B2-9EC1-ED62176943FD}"/>
            </a:ext>
          </a:extLst>
        </xdr:cNvPr>
        <xdr:cNvSpPr/>
      </xdr:nvSpPr>
      <xdr:spPr>
        <a:xfrm>
          <a:off x="2704349" y="4501287"/>
          <a:ext cx="3619190" cy="604114"/>
        </a:xfrm>
        <a:prstGeom prst="roundRect">
          <a:avLst/>
        </a:prstGeom>
        <a:solidFill>
          <a:srgbClr val="009999"/>
        </a:solidFill>
        <a:effectLst>
          <a:glow rad="101600">
            <a:srgbClr val="00B050">
              <a:alpha val="40000"/>
            </a:srgbClr>
          </a:glow>
          <a:outerShdw blurRad="50800" dist="50800" dir="5400000" algn="ctr" rotWithShape="0">
            <a:srgbClr val="000000">
              <a:alpha val="8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800">
              <a:solidFill>
                <a:schemeClr val="lt1"/>
              </a:solidFill>
              <a:effectLst/>
              <a:latin typeface="+mn-lt"/>
              <a:ea typeface="+mn-ea"/>
              <a:cs typeface="+mn-cs"/>
            </a:rPr>
            <a:t>      </a:t>
          </a:r>
          <a:r>
            <a:rPr lang="en-US" sz="2800">
              <a:solidFill>
                <a:schemeClr val="lt1"/>
              </a:solidFill>
              <a:effectLst/>
              <a:latin typeface="Algerian" panose="04020705040A02060702" pitchFamily="82" charset="0"/>
              <a:ea typeface="+mn-ea"/>
              <a:cs typeface="+mn-cs"/>
            </a:rPr>
            <a:t>Olivia Brown</a:t>
          </a:r>
          <a:endParaRPr lang="en-US" sz="2800">
            <a:effectLst/>
            <a:latin typeface="Algerian" panose="04020705040A02060702" pitchFamily="82"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xdr:txBody>
    </xdr:sp>
    <xdr:clientData/>
  </xdr:twoCellAnchor>
  <xdr:twoCellAnchor>
    <xdr:from>
      <xdr:col>4</xdr:col>
      <xdr:colOff>544284</xdr:colOff>
      <xdr:row>20</xdr:row>
      <xdr:rowOff>97971</xdr:rowOff>
    </xdr:from>
    <xdr:to>
      <xdr:col>10</xdr:col>
      <xdr:colOff>108855</xdr:colOff>
      <xdr:row>23</xdr:row>
      <xdr:rowOff>32657</xdr:rowOff>
    </xdr:to>
    <xdr:sp macro="" textlink="">
      <xdr:nvSpPr>
        <xdr:cNvPr id="17" name="TextBox 16">
          <a:extLst>
            <a:ext uri="{FF2B5EF4-FFF2-40B4-BE49-F238E27FC236}">
              <a16:creationId xmlns:a16="http://schemas.microsoft.com/office/drawing/2014/main" id="{3C047FF8-5617-043C-ECA9-C05935F7B2BF}"/>
            </a:ext>
          </a:extLst>
        </xdr:cNvPr>
        <xdr:cNvSpPr txBox="1"/>
      </xdr:nvSpPr>
      <xdr:spPr>
        <a:xfrm>
          <a:off x="2982684" y="3799114"/>
          <a:ext cx="3222171"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latin typeface="Algerian" panose="04020705040A02060702" pitchFamily="82" charset="0"/>
            </a:rPr>
            <a:t>  Logan</a:t>
          </a:r>
          <a:r>
            <a:rPr lang="en-US" sz="2800" baseline="0">
              <a:solidFill>
                <a:schemeClr val="bg1"/>
              </a:solidFill>
              <a:latin typeface="Algerian" panose="04020705040A02060702" pitchFamily="82" charset="0"/>
            </a:rPr>
            <a:t> Martin</a:t>
          </a:r>
          <a:endParaRPr lang="en-US" sz="2800">
            <a:solidFill>
              <a:schemeClr val="bg1"/>
            </a:solidFill>
            <a:latin typeface="Algerian" panose="04020705040A02060702" pitchFamily="82" charset="0"/>
          </a:endParaRPr>
        </a:p>
      </xdr:txBody>
    </xdr:sp>
    <xdr:clientData/>
  </xdr:twoCellAnchor>
  <xdr:twoCellAnchor>
    <xdr:from>
      <xdr:col>5</xdr:col>
      <xdr:colOff>174173</xdr:colOff>
      <xdr:row>16</xdr:row>
      <xdr:rowOff>163284</xdr:rowOff>
    </xdr:from>
    <xdr:to>
      <xdr:col>10</xdr:col>
      <xdr:colOff>65314</xdr:colOff>
      <xdr:row>19</xdr:row>
      <xdr:rowOff>97969</xdr:rowOff>
    </xdr:to>
    <xdr:sp macro="" textlink="">
      <xdr:nvSpPr>
        <xdr:cNvPr id="18" name="TextBox 17">
          <a:extLst>
            <a:ext uri="{FF2B5EF4-FFF2-40B4-BE49-F238E27FC236}">
              <a16:creationId xmlns:a16="http://schemas.microsoft.com/office/drawing/2014/main" id="{89E0F986-71FD-39AA-E03E-D4315DA3379A}"/>
            </a:ext>
          </a:extLst>
        </xdr:cNvPr>
        <xdr:cNvSpPr txBox="1"/>
      </xdr:nvSpPr>
      <xdr:spPr>
        <a:xfrm>
          <a:off x="3222173" y="3124198"/>
          <a:ext cx="2939141"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latin typeface="Algerian" panose="04020705040A02060702" pitchFamily="82" charset="0"/>
            </a:rPr>
            <a:t>Jackson Hill</a:t>
          </a:r>
        </a:p>
      </xdr:txBody>
    </xdr:sp>
    <xdr:clientData/>
  </xdr:twoCellAnchor>
  <xdr:twoCellAnchor>
    <xdr:from>
      <xdr:col>4</xdr:col>
      <xdr:colOff>276834</xdr:colOff>
      <xdr:row>28</xdr:row>
      <xdr:rowOff>125229</xdr:rowOff>
    </xdr:from>
    <xdr:to>
      <xdr:col>10</xdr:col>
      <xdr:colOff>238424</xdr:colOff>
      <xdr:row>35</xdr:row>
      <xdr:rowOff>0</xdr:rowOff>
    </xdr:to>
    <xdr:sp macro="" textlink="">
      <xdr:nvSpPr>
        <xdr:cNvPr id="19" name="Rectangle: Rounded Corners 18">
          <a:extLst>
            <a:ext uri="{FF2B5EF4-FFF2-40B4-BE49-F238E27FC236}">
              <a16:creationId xmlns:a16="http://schemas.microsoft.com/office/drawing/2014/main" id="{AFF3E4A7-B1A3-42F8-A50D-51F4796F053C}"/>
            </a:ext>
          </a:extLst>
        </xdr:cNvPr>
        <xdr:cNvSpPr/>
      </xdr:nvSpPr>
      <xdr:spPr>
        <a:xfrm>
          <a:off x="2715234" y="5306829"/>
          <a:ext cx="3619190" cy="1170171"/>
        </a:xfrm>
        <a:prstGeom prst="roundRect">
          <a:avLst/>
        </a:prstGeom>
        <a:solidFill>
          <a:srgbClr val="009999"/>
        </a:solidFill>
        <a:effectLst>
          <a:glow rad="101600">
            <a:srgbClr val="00B050">
              <a:alpha val="40000"/>
            </a:srgbClr>
          </a:glow>
          <a:outerShdw blurRad="50800" dist="50800" dir="5400000" algn="ctr" rotWithShape="0">
            <a:srgbClr val="000000">
              <a:alpha val="8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37349</xdr:colOff>
      <xdr:row>29</xdr:row>
      <xdr:rowOff>119743</xdr:rowOff>
    </xdr:from>
    <xdr:to>
      <xdr:col>9</xdr:col>
      <xdr:colOff>446314</xdr:colOff>
      <xdr:row>34</xdr:row>
      <xdr:rowOff>152401</xdr:rowOff>
    </xdr:to>
    <mc:AlternateContent xmlns:mc="http://schemas.openxmlformats.org/markup-compatibility/2006">
      <mc:Choice xmlns:a14="http://schemas.microsoft.com/office/drawing/2010/main" Requires="a14">
        <xdr:graphicFrame macro="">
          <xdr:nvGraphicFramePr>
            <xdr:cNvPr id="20" name="Year 1">
              <a:extLst>
                <a:ext uri="{FF2B5EF4-FFF2-40B4-BE49-F238E27FC236}">
                  <a16:creationId xmlns:a16="http://schemas.microsoft.com/office/drawing/2014/main" id="{D9BFA385-66CF-42C2-A7DD-A636F44CC01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085349" y="5486400"/>
              <a:ext cx="2847365" cy="957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rlan İnayətov" refreshedDate="46015.071311921296" createdVersion="8" refreshedVersion="8" minRefreshableVersion="3" recordCount="701" xr:uid="{5EEC8A2B-FEC8-4C8B-A867-22366C08C999}">
  <cacheSource type="worksheet">
    <worksheetSource ref="A1:P1048576" sheet="Sales Data"/>
  </cacheSource>
  <cacheFields count="16">
    <cacheField name="Segment" numFmtId="0">
      <sharedItems containsBlank="1" count="6">
        <s v="Enterprise"/>
        <s v="Midmarket"/>
        <s v="Small Business"/>
        <s v="Government"/>
        <s v="Channel Partners"/>
        <m/>
      </sharedItems>
    </cacheField>
    <cacheField name="Customer_ID" numFmtId="0">
      <sharedItems containsBlank="1" count="151">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m/>
      </sharedItems>
    </cacheField>
    <cacheField name="Product_ID" numFmtId="0">
      <sharedItems containsBlank="1"/>
    </cacheField>
    <cacheField name="Discount Band" numFmtId="0">
      <sharedItems containsBlank="1"/>
    </cacheField>
    <cacheField name="Units Sold" numFmtId="0">
      <sharedItems containsString="0" containsBlank="1" containsNumber="1" minValue="200" maxValue="4492.5"/>
    </cacheField>
    <cacheField name="Sale Price" numFmtId="0">
      <sharedItems containsString="0" containsBlank="1" containsNumber="1" containsInteger="1" minValue="7" maxValue="350"/>
    </cacheField>
    <cacheField name="Discounts" numFmtId="0">
      <sharedItems containsString="0" containsBlank="1" containsNumber="1" minValue="0" maxValue="149677.5"/>
    </cacheField>
    <cacheField name="Sales" numFmtId="0">
      <sharedItems containsString="0" containsBlank="1" containsNumber="1" minValue="1655.08" maxValue="1159200"/>
    </cacheField>
    <cacheField name="Profit" numFmtId="0">
      <sharedItems containsString="0" containsBlank="1" containsNumber="1" minValue="-40617.5" maxValue="262200"/>
    </cacheField>
    <cacheField name="Date" numFmtId="0">
      <sharedItems containsNonDate="0" containsDate="1" containsString="0" containsBlank="1" minDate="2021-01-02T00:00:00" maxDate="2023-01-01T00:00:00"/>
    </cacheField>
    <cacheField name="Month" numFmtId="0">
      <sharedItems containsBlank="1" count="13">
        <s v="Sep"/>
        <s v="Jan"/>
        <s v="Aug"/>
        <s v="Jul"/>
        <s v="Feb"/>
        <s v="Apr"/>
        <s v="Nov"/>
        <s v="Dec"/>
        <s v="Mar"/>
        <s v="Oct"/>
        <s v="May"/>
        <s v="Jun"/>
        <m/>
      </sharedItems>
    </cacheField>
    <cacheField name="Quarter" numFmtId="0">
      <sharedItems containsBlank="1"/>
    </cacheField>
    <cacheField name="Year" numFmtId="0">
      <sharedItems containsString="0" containsBlank="1" containsNumber="1" containsInteger="1" minValue="2021" maxValue="2022" count="3">
        <n v="2021"/>
        <n v="2022"/>
        <m/>
      </sharedItems>
    </cacheField>
    <cacheField name="Customer_Name" numFmtId="0">
      <sharedItems containsBlank="1" count="95">
        <s v="James Smith"/>
        <s v="Emma Johnson"/>
        <s v="Noah Williams"/>
        <s v="Olivia Brown"/>
        <s v="Liam Jones"/>
        <s v="Ava Davis"/>
        <s v="Ethan Miller"/>
        <s v="Isabella Wilson"/>
        <s v="Mason Taylor"/>
        <s v="Sophia Anderson"/>
        <s v="Benjamin Martinez"/>
        <s v="Mia Thomas"/>
        <s v="Logan Jackson"/>
        <s v="Charlotte White"/>
        <s v="Samuel Taylor"/>
        <s v="Harper Davis"/>
        <s v="Henry Anderson"/>
        <s v="Amelia Garcia"/>
        <s v="Jackson Martinez"/>
        <s v="Abigail Robinson"/>
        <s v="Aiden Lewis"/>
        <s v="Emily Clark"/>
        <s v="Sebastian Lee"/>
        <s v="Elizabeth Green"/>
        <s v="Alexander Perez"/>
        <s v="Avery Turner"/>
        <s v="Michael Hill"/>
        <s v="Sofia Phillips"/>
        <s v="Elijah Martin"/>
        <s v="Sophia Turner"/>
        <s v="Benjamin Lee"/>
        <s v="Mia White"/>
        <s v="Logan Garcia"/>
        <s v="Charlotte Davis"/>
        <s v="Samuel Johnson"/>
        <s v="Harper Anderson"/>
        <s v="Henry Martinez"/>
        <s v="Amelia Wilson"/>
        <s v="Jackson Turner"/>
        <s v="Abigail Lewis"/>
        <s v="Aiden Clark"/>
        <s v="Emily Garcia"/>
        <s v="Sebastian Phillips"/>
        <s v="Elizabeth Martin"/>
        <s v="Alexander Hill"/>
        <s v="Avery Anderson"/>
        <s v="Michael Wilson"/>
        <s v="Sofia Turner"/>
        <s v="Elijah Perez"/>
        <s v="Mia Hill"/>
        <s v="Logan Phillips"/>
        <s v="Charlotte Martin"/>
        <s v="Samuel Hill"/>
        <s v="Harper Wilson"/>
        <s v="Henry Turner"/>
        <s v="Amelia Perez"/>
        <s v="Jackson Hill"/>
        <s v="Abigail Phillips"/>
        <s v="Aiden Martin"/>
        <s v="Benjamin Martin"/>
        <s v="Mia Lewis"/>
        <s v="Logan Clark"/>
        <s v="Charlotte Anderson"/>
        <s v="Samuel Wilson"/>
        <s v="Harper Turner"/>
        <s v="Henry Phillips"/>
        <s v="Amelia Martin"/>
        <s v="Abigail Garcia"/>
        <s v="Aiden Perez"/>
        <s v="Emily Hill"/>
        <s v="Benjamin Phillips"/>
        <s v="Mia Turner"/>
        <s v="Logan Martin"/>
        <s v="Charlotte Garcia"/>
        <s v="Samuel Phillips"/>
        <s v="Harper Hill"/>
        <s v="Jackson Lewis"/>
        <s v="Abigail Clark"/>
        <s v="Aiden Anderson"/>
        <s v="Emily Martin"/>
        <s v="Benjamin Garcia"/>
        <s v="Charlotte Hill"/>
        <s v="Samuel Turner"/>
        <s v="Harper Martin"/>
        <s v="Henry Garcia"/>
        <s v="Amelia Phillips"/>
        <s v="Abigail Martin"/>
        <s v="Aiden Garcia"/>
        <s v="Emily Phillips"/>
        <s v="Benjamin Hill"/>
        <s v="Harper Phillips"/>
        <s v="Henry Martin"/>
        <s v="Amelia Hill"/>
        <s v="Aiden Hill"/>
        <m/>
      </sharedItems>
    </cacheField>
    <cacheField name="Product_Name" numFmtId="0">
      <sharedItems containsBlank="1"/>
    </cacheField>
    <cacheField name="Country" numFmtId="0">
      <sharedItems containsBlank="1" count="9">
        <s v="USA"/>
        <s v="Canada"/>
        <s v="England"/>
        <s v="France"/>
        <s v="Germany"/>
        <s v="Italy"/>
        <s v="India"/>
        <s v="Japan"/>
        <m/>
      </sharedItems>
    </cacheField>
  </cacheFields>
  <extLst>
    <ext xmlns:x14="http://schemas.microsoft.com/office/spreadsheetml/2009/9/main" uri="{725AE2AE-9491-48be-B2B4-4EB974FC3084}">
      <x14:pivotCacheDefinition pivotCacheId="1431769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x v="0"/>
    <x v="0"/>
    <s v="PROD_ID_001"/>
    <s v="None"/>
    <n v="345"/>
    <n v="125"/>
    <n v="0"/>
    <n v="43125"/>
    <n v="1725"/>
    <d v="2021-09-22T00:00:00"/>
    <x v="0"/>
    <s v="Q3"/>
    <x v="0"/>
    <x v="0"/>
    <s v="Montana"/>
    <x v="0"/>
  </r>
  <r>
    <x v="1"/>
    <x v="1"/>
    <s v="PROD_ID_002"/>
    <s v="None"/>
    <n v="549"/>
    <n v="15"/>
    <n v="0"/>
    <n v="8235"/>
    <n v="2745"/>
    <d v="2021-01-11T00:00:00"/>
    <x v="1"/>
    <s v="Q1"/>
    <x v="0"/>
    <x v="1"/>
    <s v="Paseo"/>
    <x v="1"/>
  </r>
  <r>
    <x v="2"/>
    <x v="2"/>
    <s v="PROD_ID_002"/>
    <s v="None"/>
    <n v="788"/>
    <n v="300"/>
    <n v="0"/>
    <n v="236400"/>
    <n v="39400"/>
    <d v="2022-01-27T00:00:00"/>
    <x v="1"/>
    <s v="Q1"/>
    <x v="0"/>
    <x v="2"/>
    <s v="Paseo"/>
    <x v="2"/>
  </r>
  <r>
    <x v="3"/>
    <x v="3"/>
    <s v="PROD_ID_002"/>
    <s v="None"/>
    <n v="1725"/>
    <n v="350"/>
    <n v="0"/>
    <n v="603750"/>
    <n v="155250"/>
    <d v="2021-08-01T00:00:00"/>
    <x v="2"/>
    <s v="Q3"/>
    <x v="0"/>
    <x v="3"/>
    <s v="Paseo"/>
    <x v="3"/>
  </r>
  <r>
    <x v="4"/>
    <x v="4"/>
    <s v="PROD_ID_002"/>
    <s v="None"/>
    <n v="912"/>
    <n v="12"/>
    <n v="0"/>
    <n v="10944"/>
    <n v="8208"/>
    <d v="2022-07-08T00:00:00"/>
    <x v="3"/>
    <s v="Q3"/>
    <x v="0"/>
    <x v="4"/>
    <s v="Paseo"/>
    <x v="4"/>
  </r>
  <r>
    <x v="1"/>
    <x v="5"/>
    <s v="PROD_ID_002"/>
    <s v="None"/>
    <n v="2152"/>
    <n v="15"/>
    <n v="0"/>
    <n v="32280"/>
    <n v="10760"/>
    <d v="2022-09-28T00:00:00"/>
    <x v="0"/>
    <s v="Q3"/>
    <x v="0"/>
    <x v="5"/>
    <s v="Paseo"/>
    <x v="5"/>
  </r>
  <r>
    <x v="0"/>
    <x v="6"/>
    <s v="PROD_ID_003"/>
    <s v="None"/>
    <n v="345"/>
    <n v="125"/>
    <n v="0"/>
    <n v="43125"/>
    <n v="1725"/>
    <d v="2021-09-26T00:00:00"/>
    <x v="0"/>
    <s v="Q3"/>
    <x v="0"/>
    <x v="6"/>
    <s v="Velo"/>
    <x v="6"/>
  </r>
  <r>
    <x v="3"/>
    <x v="7"/>
    <s v="PROD_ID_004"/>
    <s v="None"/>
    <n v="1527"/>
    <n v="350"/>
    <n v="0"/>
    <n v="534450"/>
    <n v="137430"/>
    <d v="2021-02-11T00:00:00"/>
    <x v="4"/>
    <s v="Q1"/>
    <x v="0"/>
    <x v="7"/>
    <s v="VTT"/>
    <x v="7"/>
  </r>
  <r>
    <x v="0"/>
    <x v="8"/>
    <s v="PROD_ID_005"/>
    <s v="Low"/>
    <n v="330"/>
    <n v="125"/>
    <n v="412.5"/>
    <n v="40837.5"/>
    <n v="1237.5"/>
    <d v="2022-01-12T00:00:00"/>
    <x v="1"/>
    <s v="Q1"/>
    <x v="0"/>
    <x v="8"/>
    <s v="Carretera"/>
    <x v="0"/>
  </r>
  <r>
    <x v="4"/>
    <x v="9"/>
    <s v="PROD_ID_005"/>
    <s v="Low"/>
    <n v="766"/>
    <n v="12"/>
    <n v="91.92"/>
    <n v="9100.08"/>
    <n v="6802.08"/>
    <d v="2022-04-06T00:00:00"/>
    <x v="5"/>
    <s v="Q2"/>
    <x v="0"/>
    <x v="9"/>
    <s v="Carretera"/>
    <x v="1"/>
  </r>
  <r>
    <x v="2"/>
    <x v="10"/>
    <s v="PROD_ID_005"/>
    <s v="Low"/>
    <n v="494"/>
    <n v="300"/>
    <n v="1482"/>
    <n v="146718"/>
    <n v="23218"/>
    <d v="2021-11-19T00:00:00"/>
    <x v="6"/>
    <s v="Q4"/>
    <x v="0"/>
    <x v="10"/>
    <s v="Carretera"/>
    <x v="2"/>
  </r>
  <r>
    <x v="2"/>
    <x v="11"/>
    <s v="PROD_ID_001"/>
    <s v="Low"/>
    <n v="2498"/>
    <n v="300"/>
    <n v="7494"/>
    <n v="741906"/>
    <n v="117406"/>
    <d v="2021-12-20T00:00:00"/>
    <x v="7"/>
    <s v="Q4"/>
    <x v="0"/>
    <x v="11"/>
    <s v="Montana"/>
    <x v="3"/>
  </r>
  <r>
    <x v="0"/>
    <x v="12"/>
    <s v="PROD_ID_001"/>
    <s v="Low"/>
    <n v="663"/>
    <n v="125"/>
    <n v="828.75"/>
    <n v="82046.25"/>
    <n v="2486.25"/>
    <d v="2021-02-27T00:00:00"/>
    <x v="4"/>
    <s v="Q1"/>
    <x v="0"/>
    <x v="12"/>
    <s v="Montana"/>
    <x v="4"/>
  </r>
  <r>
    <x v="4"/>
    <x v="13"/>
    <s v="PROD_ID_002"/>
    <s v="Low"/>
    <n v="766"/>
    <n v="12"/>
    <n v="91.92"/>
    <n v="9100.08"/>
    <n v="6802.08"/>
    <d v="2022-07-10T00:00:00"/>
    <x v="3"/>
    <s v="Q3"/>
    <x v="0"/>
    <x v="13"/>
    <s v="Paseo"/>
    <x v="5"/>
  </r>
  <r>
    <x v="0"/>
    <x v="14"/>
    <s v="PROD_ID_003"/>
    <s v="Low"/>
    <n v="663"/>
    <n v="125"/>
    <n v="828.75"/>
    <n v="82046.25"/>
    <n v="2486.25"/>
    <d v="2022-03-29T00:00:00"/>
    <x v="8"/>
    <s v="Q1"/>
    <x v="0"/>
    <x v="14"/>
    <s v="Velo"/>
    <x v="6"/>
  </r>
  <r>
    <x v="3"/>
    <x v="15"/>
    <s v="PROD_ID_003"/>
    <s v="Low"/>
    <n v="2092"/>
    <n v="7"/>
    <n v="146.44"/>
    <n v="14497.56"/>
    <n v="4037.5599999999995"/>
    <d v="2022-10-19T00:00:00"/>
    <x v="9"/>
    <s v="Q4"/>
    <x v="0"/>
    <x v="15"/>
    <s v="Velo"/>
    <x v="7"/>
  </r>
  <r>
    <x v="2"/>
    <x v="16"/>
    <s v="PROD_ID_004"/>
    <s v="Low"/>
    <n v="494"/>
    <n v="300"/>
    <n v="1482"/>
    <n v="146718"/>
    <n v="23218"/>
    <d v="2022-07-31T00:00:00"/>
    <x v="3"/>
    <s v="Q3"/>
    <x v="0"/>
    <x v="16"/>
    <s v="VTT"/>
    <x v="0"/>
  </r>
  <r>
    <x v="4"/>
    <x v="17"/>
    <s v="PROD_ID_006"/>
    <s v="Low"/>
    <n v="1989"/>
    <n v="12"/>
    <n v="238.68"/>
    <n v="23629.32"/>
    <n v="17662.32"/>
    <d v="2022-03-29T00:00:00"/>
    <x v="8"/>
    <s v="Q1"/>
    <x v="0"/>
    <x v="17"/>
    <s v="Amarilla"/>
    <x v="1"/>
  </r>
  <r>
    <x v="1"/>
    <x v="18"/>
    <s v="PROD_ID_006"/>
    <s v="Low"/>
    <n v="321"/>
    <n v="15"/>
    <n v="48.15"/>
    <n v="4766.8500000000004"/>
    <n v="1556.8500000000004"/>
    <d v="2022-07-27T00:00:00"/>
    <x v="3"/>
    <s v="Q3"/>
    <x v="0"/>
    <x v="18"/>
    <s v="Amarilla"/>
    <x v="2"/>
  </r>
  <r>
    <x v="2"/>
    <x v="19"/>
    <s v="PROD_ID_005"/>
    <s v="Low"/>
    <n v="214"/>
    <n v="300"/>
    <n v="1284"/>
    <n v="62916"/>
    <n v="9416"/>
    <d v="2021-08-30T00:00:00"/>
    <x v="2"/>
    <s v="Q3"/>
    <x v="0"/>
    <x v="19"/>
    <s v="Carretera"/>
    <x v="3"/>
  </r>
  <r>
    <x v="3"/>
    <x v="20"/>
    <s v="PROD_ID_005"/>
    <s v="Low"/>
    <n v="2145"/>
    <n v="7"/>
    <n v="300.3"/>
    <n v="14714.7"/>
    <n v="3989.7000000000007"/>
    <d v="2021-10-15T00:00:00"/>
    <x v="9"/>
    <s v="Q4"/>
    <x v="0"/>
    <x v="20"/>
    <s v="Carretera"/>
    <x v="4"/>
  </r>
  <r>
    <x v="0"/>
    <x v="21"/>
    <s v="PROD_ID_001"/>
    <s v="Low"/>
    <n v="1660"/>
    <n v="125"/>
    <n v="4150"/>
    <n v="203350"/>
    <n v="4150"/>
    <d v="2022-10-30T00:00:00"/>
    <x v="9"/>
    <s v="Q4"/>
    <x v="0"/>
    <x v="21"/>
    <s v="Montana"/>
    <x v="5"/>
  </r>
  <r>
    <x v="0"/>
    <x v="22"/>
    <s v="PROD_ID_002"/>
    <s v="Low"/>
    <n v="809"/>
    <n v="125"/>
    <n v="2022.5"/>
    <n v="99102.5"/>
    <n v="2022.5"/>
    <d v="2021-12-10T00:00:00"/>
    <x v="7"/>
    <s v="Q4"/>
    <x v="0"/>
    <x v="22"/>
    <s v="Paseo"/>
    <x v="6"/>
  </r>
  <r>
    <x v="0"/>
    <x v="23"/>
    <s v="PROD_ID_002"/>
    <s v="Low"/>
    <n v="2145"/>
    <n v="125"/>
    <n v="5362.5"/>
    <n v="262762.5"/>
    <n v="5362.5"/>
    <d v="2021-05-23T00:00:00"/>
    <x v="10"/>
    <s v="Q2"/>
    <x v="0"/>
    <x v="23"/>
    <s v="Paseo"/>
    <x v="7"/>
  </r>
  <r>
    <x v="4"/>
    <x v="24"/>
    <s v="PROD_ID_002"/>
    <s v="Low"/>
    <n v="1785"/>
    <n v="12"/>
    <n v="428.4"/>
    <n v="20991.599999999999"/>
    <n v="15636.599999999999"/>
    <d v="2021-02-18T00:00:00"/>
    <x v="4"/>
    <s v="Q1"/>
    <x v="0"/>
    <x v="24"/>
    <s v="Paseo"/>
    <x v="0"/>
  </r>
  <r>
    <x v="1"/>
    <x v="25"/>
    <s v="PROD_ID_002"/>
    <s v="Low"/>
    <n v="1925"/>
    <n v="15"/>
    <n v="577.5"/>
    <n v="28297.5"/>
    <n v="9047.5"/>
    <d v="2021-01-28T00:00:00"/>
    <x v="1"/>
    <s v="Q1"/>
    <x v="0"/>
    <x v="25"/>
    <s v="Paseo"/>
    <x v="1"/>
  </r>
  <r>
    <x v="3"/>
    <x v="26"/>
    <s v="PROD_ID_002"/>
    <s v="Low"/>
    <n v="2013"/>
    <n v="7"/>
    <n v="281.82"/>
    <n v="13809.18"/>
    <n v="3744.1800000000003"/>
    <d v="2022-12-21T00:00:00"/>
    <x v="7"/>
    <s v="Q4"/>
    <x v="0"/>
    <x v="26"/>
    <s v="Paseo"/>
    <x v="2"/>
  </r>
  <r>
    <x v="3"/>
    <x v="27"/>
    <s v="PROD_ID_003"/>
    <s v="Low"/>
    <n v="2966"/>
    <n v="350"/>
    <n v="20762"/>
    <n v="1017338"/>
    <n v="246178"/>
    <d v="2022-01-13T00:00:00"/>
    <x v="1"/>
    <s v="Q1"/>
    <x v="0"/>
    <x v="27"/>
    <s v="Velo"/>
    <x v="3"/>
  </r>
  <r>
    <x v="0"/>
    <x v="28"/>
    <s v="PROD_ID_003"/>
    <s v="Low"/>
    <n v="809"/>
    <n v="125"/>
    <n v="2022.5"/>
    <n v="99102.5"/>
    <n v="2022.5"/>
    <d v="2022-11-08T00:00:00"/>
    <x v="6"/>
    <s v="Q4"/>
    <x v="0"/>
    <x v="28"/>
    <s v="Velo"/>
    <x v="4"/>
  </r>
  <r>
    <x v="0"/>
    <x v="29"/>
    <s v="PROD_ID_003"/>
    <s v="Low"/>
    <n v="2145"/>
    <n v="125"/>
    <n v="5362.5"/>
    <n v="262762.5"/>
    <n v="5362.5"/>
    <d v="2021-01-19T00:00:00"/>
    <x v="1"/>
    <s v="Q1"/>
    <x v="0"/>
    <x v="29"/>
    <s v="Velo"/>
    <x v="5"/>
  </r>
  <r>
    <x v="3"/>
    <x v="30"/>
    <s v="PROD_ID_003"/>
    <s v="Low"/>
    <n v="544"/>
    <n v="20"/>
    <n v="217.6"/>
    <n v="10662.4"/>
    <n v="5222.3999999999996"/>
    <d v="2021-07-30T00:00:00"/>
    <x v="3"/>
    <s v="Q3"/>
    <x v="0"/>
    <x v="30"/>
    <s v="Velo"/>
    <x v="6"/>
  </r>
  <r>
    <x v="2"/>
    <x v="31"/>
    <s v="PROD_ID_004"/>
    <s v="Low"/>
    <n v="214"/>
    <n v="300"/>
    <n v="1284"/>
    <n v="62916"/>
    <n v="9416"/>
    <d v="2021-02-21T00:00:00"/>
    <x v="4"/>
    <s v="Q1"/>
    <x v="0"/>
    <x v="31"/>
    <s v="VTT"/>
    <x v="7"/>
  </r>
  <r>
    <x v="3"/>
    <x v="32"/>
    <s v="PROD_ID_004"/>
    <s v="Low"/>
    <n v="266"/>
    <n v="350"/>
    <n v="1862"/>
    <n v="91238"/>
    <n v="22078"/>
    <d v="2022-01-28T00:00:00"/>
    <x v="1"/>
    <s v="Q1"/>
    <x v="0"/>
    <x v="32"/>
    <s v="VTT"/>
    <x v="0"/>
  </r>
  <r>
    <x v="3"/>
    <x v="33"/>
    <s v="PROD_ID_004"/>
    <s v="Low"/>
    <n v="1940"/>
    <n v="350"/>
    <n v="13580"/>
    <n v="665420"/>
    <n v="161020"/>
    <d v="2022-01-12T00:00:00"/>
    <x v="1"/>
    <s v="Q1"/>
    <x v="0"/>
    <x v="33"/>
    <s v="VTT"/>
    <x v="1"/>
  </r>
  <r>
    <x v="3"/>
    <x v="34"/>
    <s v="PROD_ID_006"/>
    <s v="Low"/>
    <n v="2966"/>
    <n v="350"/>
    <n v="20762"/>
    <n v="1017338"/>
    <n v="246178"/>
    <d v="2022-07-01T00:00:00"/>
    <x v="3"/>
    <s v="Q3"/>
    <x v="0"/>
    <x v="34"/>
    <s v="Amarilla"/>
    <x v="2"/>
  </r>
  <r>
    <x v="4"/>
    <x v="35"/>
    <s v="PROD_ID_005"/>
    <s v="Low"/>
    <n v="908"/>
    <n v="12"/>
    <n v="326.88"/>
    <n v="10569.12"/>
    <n v="7845.1200000000008"/>
    <d v="2022-12-11T00:00:00"/>
    <x v="7"/>
    <s v="Q4"/>
    <x v="0"/>
    <x v="35"/>
    <s v="Carretera"/>
    <x v="3"/>
  </r>
  <r>
    <x v="3"/>
    <x v="36"/>
    <s v="PROD_ID_001"/>
    <s v="Low"/>
    <n v="1797"/>
    <n v="350"/>
    <n v="18868.5"/>
    <n v="610081.5"/>
    <n v="142861.5"/>
    <d v="2021-05-16T00:00:00"/>
    <x v="10"/>
    <s v="Q2"/>
    <x v="0"/>
    <x v="36"/>
    <s v="Montana"/>
    <x v="4"/>
  </r>
  <r>
    <x v="1"/>
    <x v="37"/>
    <s v="PROD_ID_002"/>
    <s v="Low"/>
    <n v="1945"/>
    <n v="15"/>
    <n v="875.25"/>
    <n v="28299.75"/>
    <n v="8849.75"/>
    <d v="2022-05-02T00:00:00"/>
    <x v="10"/>
    <s v="Q2"/>
    <x v="0"/>
    <x v="37"/>
    <s v="Paseo"/>
    <x v="5"/>
  </r>
  <r>
    <x v="1"/>
    <x v="38"/>
    <s v="PROD_ID_004"/>
    <s v="Low"/>
    <n v="1945"/>
    <n v="15"/>
    <n v="875.25"/>
    <n v="28299.75"/>
    <n v="8849.75"/>
    <d v="2022-04-02T00:00:00"/>
    <x v="5"/>
    <s v="Q2"/>
    <x v="0"/>
    <x v="38"/>
    <s v="VTT"/>
    <x v="6"/>
  </r>
  <r>
    <x v="3"/>
    <x v="39"/>
    <s v="PROD_ID_002"/>
    <s v="Low"/>
    <n v="1760"/>
    <n v="7"/>
    <n v="369.6"/>
    <n v="11950.4"/>
    <n v="3150.3999999999996"/>
    <d v="2021-11-03T00:00:00"/>
    <x v="6"/>
    <s v="Q4"/>
    <x v="0"/>
    <x v="39"/>
    <s v="Paseo"/>
    <x v="7"/>
  </r>
  <r>
    <x v="1"/>
    <x v="1"/>
    <s v="PROD_ID_002"/>
    <s v="Low"/>
    <n v="2261"/>
    <n v="15"/>
    <n v="1356.6"/>
    <n v="32558.400000000001"/>
    <n v="9948.4000000000015"/>
    <d v="2022-04-10T00:00:00"/>
    <x v="5"/>
    <s v="Q2"/>
    <x v="0"/>
    <x v="1"/>
    <s v="Paseo"/>
    <x v="1"/>
  </r>
  <r>
    <x v="3"/>
    <x v="40"/>
    <s v="PROD_ID_003"/>
    <s v="Low"/>
    <n v="736"/>
    <n v="20"/>
    <n v="588.79999999999995"/>
    <n v="14131.2"/>
    <n v="6771.2000000000007"/>
    <d v="2022-07-12T00:00:00"/>
    <x v="3"/>
    <s v="Q3"/>
    <x v="0"/>
    <x v="40"/>
    <s v="Velo"/>
    <x v="0"/>
  </r>
  <r>
    <x v="3"/>
    <x v="41"/>
    <s v="PROD_ID_005"/>
    <s v="Low"/>
    <n v="2851"/>
    <n v="7"/>
    <n v="798.28"/>
    <n v="19158.72"/>
    <n v="4903.7200000000012"/>
    <d v="2022-12-20T00:00:00"/>
    <x v="7"/>
    <s v="Q4"/>
    <x v="0"/>
    <x v="41"/>
    <s v="Carretera"/>
    <x v="1"/>
  </r>
  <r>
    <x v="3"/>
    <x v="42"/>
    <s v="PROD_ID_001"/>
    <s v="Low"/>
    <n v="2851"/>
    <n v="7"/>
    <n v="798.28"/>
    <n v="19158.72"/>
    <n v="4903.7200000000012"/>
    <d v="2021-07-14T00:00:00"/>
    <x v="3"/>
    <s v="Q3"/>
    <x v="0"/>
    <x v="42"/>
    <s v="Montana"/>
    <x v="2"/>
  </r>
  <r>
    <x v="1"/>
    <x v="25"/>
    <s v="PROD_ID_002"/>
    <s v="Low"/>
    <n v="671"/>
    <n v="15"/>
    <n v="402.6"/>
    <n v="9662.4"/>
    <n v="2952.3999999999996"/>
    <d v="2021-01-15T00:00:00"/>
    <x v="1"/>
    <s v="Q1"/>
    <x v="0"/>
    <x v="25"/>
    <s v="Paseo"/>
    <x v="1"/>
  </r>
  <r>
    <x v="1"/>
    <x v="43"/>
    <s v="PROD_ID_002"/>
    <s v="Low"/>
    <n v="1514"/>
    <n v="15"/>
    <n v="908.4"/>
    <n v="21801.599999999999"/>
    <n v="6661.5999999999985"/>
    <d v="2022-03-22T00:00:00"/>
    <x v="8"/>
    <s v="Q1"/>
    <x v="0"/>
    <x v="43"/>
    <s v="Paseo"/>
    <x v="3"/>
  </r>
  <r>
    <x v="3"/>
    <x v="15"/>
    <s v="PROD_ID_003"/>
    <s v="Low"/>
    <n v="2646"/>
    <n v="20"/>
    <n v="2116.8000000000002"/>
    <n v="50803.199999999997"/>
    <n v="24343.199999999997"/>
    <d v="2022-06-05T00:00:00"/>
    <x v="11"/>
    <s v="Q2"/>
    <x v="0"/>
    <x v="15"/>
    <s v="Velo"/>
    <x v="7"/>
  </r>
  <r>
    <x v="3"/>
    <x v="32"/>
    <s v="PROD_ID_004"/>
    <s v="Low"/>
    <n v="349"/>
    <n v="350"/>
    <n v="4886"/>
    <n v="117264"/>
    <n v="26524"/>
    <d v="2021-02-16T00:00:00"/>
    <x v="4"/>
    <s v="Q1"/>
    <x v="0"/>
    <x v="32"/>
    <s v="VTT"/>
    <x v="0"/>
  </r>
  <r>
    <x v="1"/>
    <x v="44"/>
    <s v="PROD_ID_004"/>
    <s v="Low"/>
    <n v="1514"/>
    <n v="15"/>
    <n v="908.4"/>
    <n v="21801.599999999999"/>
    <n v="6661.5999999999985"/>
    <d v="2021-09-15T00:00:00"/>
    <x v="0"/>
    <s v="Q3"/>
    <x v="0"/>
    <x v="44"/>
    <s v="VTT"/>
    <x v="4"/>
  </r>
  <r>
    <x v="1"/>
    <x v="45"/>
    <s v="PROD_ID_006"/>
    <s v="Low"/>
    <n v="671"/>
    <n v="15"/>
    <n v="402.6"/>
    <n v="9662.4"/>
    <n v="2952.3999999999996"/>
    <d v="2022-10-19T00:00:00"/>
    <x v="9"/>
    <s v="Q4"/>
    <x v="0"/>
    <x v="45"/>
    <s v="Amarilla"/>
    <x v="5"/>
  </r>
  <r>
    <x v="3"/>
    <x v="46"/>
    <s v="PROD_ID_006"/>
    <s v="Low"/>
    <n v="1778"/>
    <n v="350"/>
    <n v="24892"/>
    <n v="597408"/>
    <n v="135128"/>
    <d v="2021-12-31T00:00:00"/>
    <x v="7"/>
    <s v="Q4"/>
    <x v="0"/>
    <x v="46"/>
    <s v="Amarilla"/>
    <x v="6"/>
  </r>
  <r>
    <x v="3"/>
    <x v="36"/>
    <s v="PROD_ID_001"/>
    <s v="Medium"/>
    <n v="1159"/>
    <n v="7"/>
    <n v="405.65"/>
    <n v="7707.35"/>
    <n v="1912.3500000000004"/>
    <d v="2022-08-17T00:00:00"/>
    <x v="2"/>
    <s v="Q3"/>
    <x v="0"/>
    <x v="36"/>
    <s v="Montana"/>
    <x v="4"/>
  </r>
  <r>
    <x v="3"/>
    <x v="3"/>
    <s v="PROD_ID_002"/>
    <s v="Medium"/>
    <n v="2349"/>
    <n v="7"/>
    <n v="822.15"/>
    <n v="15620.85"/>
    <n v="3875.8500000000004"/>
    <d v="2022-09-28T00:00:00"/>
    <x v="0"/>
    <s v="Q3"/>
    <x v="0"/>
    <x v="3"/>
    <s v="Paseo"/>
    <x v="3"/>
  </r>
  <r>
    <x v="3"/>
    <x v="34"/>
    <s v="PROD_ID_006"/>
    <s v="Medium"/>
    <n v="1159"/>
    <n v="7"/>
    <n v="405.65"/>
    <n v="7707.35"/>
    <n v="1912.3500000000004"/>
    <d v="2021-03-28T00:00:00"/>
    <x v="8"/>
    <s v="Q1"/>
    <x v="0"/>
    <x v="34"/>
    <s v="Amarilla"/>
    <x v="2"/>
  </r>
  <r>
    <x v="3"/>
    <x v="47"/>
    <s v="PROD_ID_005"/>
    <s v="Medium"/>
    <n v="1016"/>
    <n v="7"/>
    <n v="355.6"/>
    <n v="6756.4"/>
    <n v="1676.3999999999996"/>
    <d v="2022-05-24T00:00:00"/>
    <x v="10"/>
    <s v="Q2"/>
    <x v="0"/>
    <x v="47"/>
    <s v="Carretera"/>
    <x v="7"/>
  </r>
  <r>
    <x v="3"/>
    <x v="48"/>
    <s v="PROD_ID_001"/>
    <s v="Medium"/>
    <n v="720"/>
    <n v="350"/>
    <n v="12600"/>
    <n v="239400"/>
    <n v="52200"/>
    <d v="2021-04-08T00:00:00"/>
    <x v="5"/>
    <s v="Q2"/>
    <x v="0"/>
    <x v="48"/>
    <s v="Montana"/>
    <x v="0"/>
  </r>
  <r>
    <x v="2"/>
    <x v="49"/>
    <s v="PROD_ID_001"/>
    <s v="Medium"/>
    <n v="1100"/>
    <n v="300"/>
    <n v="16500"/>
    <n v="313500"/>
    <n v="38500"/>
    <d v="2021-01-20T00:00:00"/>
    <x v="1"/>
    <s v="Q1"/>
    <x v="0"/>
    <x v="49"/>
    <s v="Montana"/>
    <x v="1"/>
  </r>
  <r>
    <x v="3"/>
    <x v="3"/>
    <s v="PROD_ID_002"/>
    <s v="Medium"/>
    <n v="1228"/>
    <n v="350"/>
    <n v="21490"/>
    <n v="408310"/>
    <n v="89030"/>
    <d v="2021-01-09T00:00:00"/>
    <x v="1"/>
    <s v="Q1"/>
    <x v="0"/>
    <x v="3"/>
    <s v="Paseo"/>
    <x v="3"/>
  </r>
  <r>
    <x v="3"/>
    <x v="3"/>
    <s v="PROD_ID_002"/>
    <s v="Medium"/>
    <n v="1389"/>
    <n v="20"/>
    <n v="1389"/>
    <n v="26391"/>
    <n v="12501"/>
    <d v="2021-12-16T00:00:00"/>
    <x v="7"/>
    <s v="Q4"/>
    <x v="0"/>
    <x v="3"/>
    <s v="Paseo"/>
    <x v="3"/>
  </r>
  <r>
    <x v="0"/>
    <x v="50"/>
    <s v="PROD_ID_002"/>
    <s v="Medium"/>
    <n v="704"/>
    <n v="125"/>
    <n v="4400"/>
    <n v="83600"/>
    <n v="-880"/>
    <d v="2021-07-25T00:00:00"/>
    <x v="3"/>
    <s v="Q3"/>
    <x v="0"/>
    <x v="50"/>
    <s v="Paseo"/>
    <x v="2"/>
  </r>
  <r>
    <x v="3"/>
    <x v="3"/>
    <s v="PROD_ID_002"/>
    <s v="Medium"/>
    <n v="1802"/>
    <n v="20"/>
    <n v="1802"/>
    <n v="34238"/>
    <n v="16218"/>
    <d v="2021-09-30T00:00:00"/>
    <x v="0"/>
    <s v="Q3"/>
    <x v="0"/>
    <x v="3"/>
    <s v="Paseo"/>
    <x v="3"/>
  </r>
  <r>
    <x v="3"/>
    <x v="51"/>
    <s v="PROD_ID_002"/>
    <s v="Medium"/>
    <n v="2136"/>
    <n v="7"/>
    <n v="747.6"/>
    <n v="14204.4"/>
    <n v="3524.3999999999996"/>
    <d v="2021-07-22T00:00:00"/>
    <x v="3"/>
    <s v="Q3"/>
    <x v="0"/>
    <x v="51"/>
    <s v="Paseo"/>
    <x v="3"/>
  </r>
  <r>
    <x v="1"/>
    <x v="37"/>
    <s v="PROD_ID_002"/>
    <s v="Medium"/>
    <n v="2116"/>
    <n v="15"/>
    <n v="1587"/>
    <n v="30153"/>
    <n v="8993"/>
    <d v="2022-03-16T00:00:00"/>
    <x v="8"/>
    <s v="Q1"/>
    <x v="0"/>
    <x v="37"/>
    <s v="Paseo"/>
    <x v="5"/>
  </r>
  <r>
    <x v="0"/>
    <x v="52"/>
    <s v="PROD_ID_003"/>
    <s v="Medium"/>
    <n v="704"/>
    <n v="125"/>
    <n v="4400"/>
    <n v="83600"/>
    <n v="-880"/>
    <d v="2021-04-25T00:00:00"/>
    <x v="5"/>
    <s v="Q2"/>
    <x v="0"/>
    <x v="52"/>
    <s v="Velo"/>
    <x v="4"/>
  </r>
  <r>
    <x v="3"/>
    <x v="53"/>
    <s v="PROD_ID_003"/>
    <s v="Medium"/>
    <n v="1033"/>
    <n v="20"/>
    <n v="1033"/>
    <n v="19627"/>
    <n v="9297"/>
    <d v="2022-10-28T00:00:00"/>
    <x v="9"/>
    <s v="Q4"/>
    <x v="0"/>
    <x v="53"/>
    <s v="Velo"/>
    <x v="5"/>
  </r>
  <r>
    <x v="3"/>
    <x v="54"/>
    <s v="PROD_ID_004"/>
    <s v="Medium"/>
    <n v="1389"/>
    <n v="20"/>
    <n v="1389"/>
    <n v="26391"/>
    <n v="12501"/>
    <d v="2021-09-07T00:00:00"/>
    <x v="0"/>
    <s v="Q3"/>
    <x v="0"/>
    <x v="54"/>
    <s v="VTT"/>
    <x v="6"/>
  </r>
  <r>
    <x v="3"/>
    <x v="32"/>
    <s v="PROD_ID_004"/>
    <s v="Medium"/>
    <n v="1265"/>
    <n v="20"/>
    <n v="1265"/>
    <n v="24035"/>
    <n v="11385"/>
    <d v="2021-07-03T00:00:00"/>
    <x v="3"/>
    <s v="Q3"/>
    <x v="0"/>
    <x v="32"/>
    <s v="VTT"/>
    <x v="0"/>
  </r>
  <r>
    <x v="3"/>
    <x v="55"/>
    <s v="PROD_ID_004"/>
    <s v="Medium"/>
    <n v="2297"/>
    <n v="20"/>
    <n v="2297"/>
    <n v="43643"/>
    <n v="20673"/>
    <d v="2021-07-31T00:00:00"/>
    <x v="3"/>
    <s v="Q3"/>
    <x v="0"/>
    <x v="55"/>
    <s v="VTT"/>
    <x v="7"/>
  </r>
  <r>
    <x v="3"/>
    <x v="46"/>
    <s v="PROD_ID_006"/>
    <s v="Medium"/>
    <n v="1228"/>
    <n v="350"/>
    <n v="21490"/>
    <n v="408310"/>
    <n v="89030"/>
    <d v="2022-01-11T00:00:00"/>
    <x v="1"/>
    <s v="Q1"/>
    <x v="0"/>
    <x v="46"/>
    <s v="Amarilla"/>
    <x v="6"/>
  </r>
  <r>
    <x v="4"/>
    <x v="35"/>
    <s v="PROD_ID_005"/>
    <s v="Medium"/>
    <n v="2299"/>
    <n v="12"/>
    <n v="1655.28"/>
    <n v="25932.720000000001"/>
    <n v="19035.72"/>
    <d v="2022-01-01T00:00:00"/>
    <x v="1"/>
    <s v="Q1"/>
    <x v="0"/>
    <x v="35"/>
    <s v="Carretera"/>
    <x v="3"/>
  </r>
  <r>
    <x v="3"/>
    <x v="56"/>
    <s v="PROD_ID_005"/>
    <s v="Medium"/>
    <n v="263"/>
    <n v="7"/>
    <n v="110.46"/>
    <n v="1730.54"/>
    <n v="415.53999999999996"/>
    <d v="2021-04-15T00:00:00"/>
    <x v="5"/>
    <s v="Q2"/>
    <x v="0"/>
    <x v="56"/>
    <s v="Carretera"/>
    <x v="0"/>
  </r>
  <r>
    <x v="0"/>
    <x v="57"/>
    <s v="PROD_ID_005"/>
    <s v="Medium"/>
    <n v="887"/>
    <n v="125"/>
    <n v="6652.5"/>
    <n v="104222.5"/>
    <n v="-2217.5"/>
    <d v="2022-08-16T00:00:00"/>
    <x v="2"/>
    <s v="Q3"/>
    <x v="0"/>
    <x v="57"/>
    <s v="Carretera"/>
    <x v="1"/>
  </r>
  <r>
    <x v="3"/>
    <x v="58"/>
    <s v="PROD_ID_001"/>
    <s v="Medium"/>
    <n v="1403"/>
    <n v="7"/>
    <n v="589.26"/>
    <n v="9231.74"/>
    <n v="2216.7399999999998"/>
    <d v="2022-09-25T00:00:00"/>
    <x v="0"/>
    <s v="Q3"/>
    <x v="0"/>
    <x v="58"/>
    <s v="Montana"/>
    <x v="2"/>
  </r>
  <r>
    <x v="4"/>
    <x v="59"/>
    <s v="PROD_ID_002"/>
    <s v="Medium"/>
    <n v="2299"/>
    <n v="12"/>
    <n v="1655.28"/>
    <n v="25932.720000000001"/>
    <n v="19035.72"/>
    <d v="2021-04-25T00:00:00"/>
    <x v="5"/>
    <s v="Q2"/>
    <x v="0"/>
    <x v="41"/>
    <s v="Paseo"/>
    <x v="3"/>
  </r>
  <r>
    <x v="3"/>
    <x v="26"/>
    <s v="PROD_ID_002"/>
    <s v="Medium"/>
    <n v="727"/>
    <n v="350"/>
    <n v="15267"/>
    <n v="239183"/>
    <n v="50163"/>
    <d v="2022-04-19T00:00:00"/>
    <x v="5"/>
    <s v="Q2"/>
    <x v="0"/>
    <x v="26"/>
    <s v="Paseo"/>
    <x v="2"/>
  </r>
  <r>
    <x v="2"/>
    <x v="60"/>
    <s v="PROD_ID_003"/>
    <s v="Medium"/>
    <n v="1221"/>
    <n v="300"/>
    <n v="21978"/>
    <n v="344322"/>
    <n v="39072"/>
    <d v="2021-05-25T00:00:00"/>
    <x v="10"/>
    <s v="Q2"/>
    <x v="0"/>
    <x v="59"/>
    <s v="Velo"/>
    <x v="4"/>
  </r>
  <r>
    <x v="3"/>
    <x v="53"/>
    <s v="PROD_ID_003"/>
    <s v="Medium"/>
    <n v="2076"/>
    <n v="350"/>
    <n v="43596"/>
    <n v="683004"/>
    <n v="143244"/>
    <d v="2021-09-24T00:00:00"/>
    <x v="0"/>
    <s v="Q3"/>
    <x v="0"/>
    <x v="53"/>
    <s v="Velo"/>
    <x v="5"/>
  </r>
  <r>
    <x v="2"/>
    <x v="61"/>
    <s v="PROD_ID_004"/>
    <s v="Medium"/>
    <n v="1221"/>
    <n v="300"/>
    <n v="21978"/>
    <n v="344322"/>
    <n v="39072"/>
    <d v="2021-08-20T00:00:00"/>
    <x v="2"/>
    <s v="Q3"/>
    <x v="0"/>
    <x v="60"/>
    <s v="VTT"/>
    <x v="5"/>
  </r>
  <r>
    <x v="3"/>
    <x v="33"/>
    <s v="PROD_ID_004"/>
    <s v="Medium"/>
    <n v="1123"/>
    <n v="20"/>
    <n v="1347.6"/>
    <n v="21112.400000000001"/>
    <n v="9882.4000000000015"/>
    <d v="2022-07-25T00:00:00"/>
    <x v="3"/>
    <s v="Q3"/>
    <x v="0"/>
    <x v="33"/>
    <s v="VTT"/>
    <x v="1"/>
  </r>
  <r>
    <x v="2"/>
    <x v="62"/>
    <s v="PROD_ID_004"/>
    <s v="Medium"/>
    <n v="2436"/>
    <n v="300"/>
    <n v="43848"/>
    <n v="686952"/>
    <n v="77952"/>
    <d v="2021-03-05T00:00:00"/>
    <x v="8"/>
    <s v="Q1"/>
    <x v="0"/>
    <x v="61"/>
    <s v="VTT"/>
    <x v="6"/>
  </r>
  <r>
    <x v="3"/>
    <x v="63"/>
    <s v="PROD_ID_006"/>
    <s v="Medium"/>
    <n v="727"/>
    <n v="350"/>
    <n v="15267"/>
    <n v="239183"/>
    <n v="50163"/>
    <d v="2022-02-21T00:00:00"/>
    <x v="4"/>
    <s v="Q1"/>
    <x v="0"/>
    <x v="62"/>
    <s v="Amarilla"/>
    <x v="7"/>
  </r>
  <r>
    <x v="3"/>
    <x v="64"/>
    <s v="PROD_ID_006"/>
    <s v="Medium"/>
    <n v="1403"/>
    <n v="7"/>
    <n v="589.26"/>
    <n v="9231.74"/>
    <n v="2216.7399999999998"/>
    <d v="2021-09-08T00:00:00"/>
    <x v="0"/>
    <s v="Q3"/>
    <x v="0"/>
    <x v="63"/>
    <s v="Amarilla"/>
    <x v="0"/>
  </r>
  <r>
    <x v="3"/>
    <x v="64"/>
    <s v="PROD_ID_006"/>
    <s v="Medium"/>
    <n v="2076"/>
    <n v="350"/>
    <n v="43596"/>
    <n v="683004"/>
    <n v="143244"/>
    <d v="2022-08-21T00:00:00"/>
    <x v="2"/>
    <s v="Q3"/>
    <x v="0"/>
    <x v="63"/>
    <s v="Amarilla"/>
    <x v="0"/>
  </r>
  <r>
    <x v="3"/>
    <x v="58"/>
    <s v="PROD_ID_001"/>
    <s v="Medium"/>
    <n v="1757"/>
    <n v="20"/>
    <n v="2108.4"/>
    <n v="33031.599999999999"/>
    <n v="15461.599999999999"/>
    <d v="2022-05-18T00:00:00"/>
    <x v="10"/>
    <s v="Q2"/>
    <x v="0"/>
    <x v="58"/>
    <s v="Montana"/>
    <x v="2"/>
  </r>
  <r>
    <x v="3"/>
    <x v="51"/>
    <s v="PROD_ID_002"/>
    <s v="Medium"/>
    <n v="1757"/>
    <n v="20"/>
    <n v="2108.4"/>
    <n v="33031.599999999999"/>
    <n v="15461.599999999999"/>
    <d v="2022-08-29T00:00:00"/>
    <x v="2"/>
    <s v="Q3"/>
    <x v="0"/>
    <x v="51"/>
    <s v="Paseo"/>
    <x v="3"/>
  </r>
  <r>
    <x v="3"/>
    <x v="65"/>
    <s v="PROD_ID_005"/>
    <s v="Medium"/>
    <n v="1834"/>
    <n v="20"/>
    <n v="2567.6"/>
    <n v="34112.400000000001"/>
    <n v="15772.400000000001"/>
    <d v="2022-04-23T00:00:00"/>
    <x v="5"/>
    <s v="Q2"/>
    <x v="0"/>
    <x v="64"/>
    <s v="Carretera"/>
    <x v="1"/>
  </r>
  <r>
    <x v="3"/>
    <x v="51"/>
    <s v="PROD_ID_002"/>
    <s v="Medium"/>
    <n v="1031"/>
    <n v="7"/>
    <n v="505.19"/>
    <n v="6711.81"/>
    <n v="1556.8100000000004"/>
    <d v="2022-02-06T00:00:00"/>
    <x v="4"/>
    <s v="Q1"/>
    <x v="0"/>
    <x v="51"/>
    <s v="Paseo"/>
    <x v="3"/>
  </r>
  <r>
    <x v="4"/>
    <x v="66"/>
    <s v="PROD_ID_004"/>
    <s v="Medium"/>
    <n v="2215"/>
    <n v="12"/>
    <n v="1860.6"/>
    <n v="24719.4"/>
    <n v="18074.400000000001"/>
    <d v="2021-01-02T00:00:00"/>
    <x v="1"/>
    <s v="Q1"/>
    <x v="0"/>
    <x v="65"/>
    <s v="VTT"/>
    <x v="2"/>
  </r>
  <r>
    <x v="0"/>
    <x v="67"/>
    <s v="PROD_ID_001"/>
    <s v="Medium"/>
    <n v="2500"/>
    <n v="125"/>
    <n v="21875"/>
    <n v="290625"/>
    <n v="-9375"/>
    <d v="2021-03-13T00:00:00"/>
    <x v="8"/>
    <s v="Q1"/>
    <x v="0"/>
    <x v="66"/>
    <s v="Montana"/>
    <x v="3"/>
  </r>
  <r>
    <x v="1"/>
    <x v="25"/>
    <s v="PROD_ID_002"/>
    <s v="Medium"/>
    <n v="2931"/>
    <n v="15"/>
    <n v="3077.55"/>
    <n v="40887.449999999997"/>
    <n v="11577.449999999997"/>
    <d v="2021-09-12T00:00:00"/>
    <x v="0"/>
    <s v="Q3"/>
    <x v="0"/>
    <x v="25"/>
    <s v="Paseo"/>
    <x v="1"/>
  </r>
  <r>
    <x v="2"/>
    <x v="68"/>
    <s v="PROD_ID_002"/>
    <s v="Medium"/>
    <n v="1123"/>
    <n v="300"/>
    <n v="23583"/>
    <n v="313317"/>
    <n v="32567"/>
    <d v="2021-06-16T00:00:00"/>
    <x v="11"/>
    <s v="Q2"/>
    <x v="0"/>
    <x v="56"/>
    <s v="Paseo"/>
    <x v="4"/>
  </r>
  <r>
    <x v="2"/>
    <x v="69"/>
    <s v="PROD_ID_002"/>
    <s v="Medium"/>
    <n v="1404"/>
    <n v="300"/>
    <n v="29484"/>
    <n v="391716"/>
    <n v="40716"/>
    <d v="2022-05-19T00:00:00"/>
    <x v="10"/>
    <s v="Q2"/>
    <x v="0"/>
    <x v="67"/>
    <s v="Paseo"/>
    <x v="5"/>
  </r>
  <r>
    <x v="4"/>
    <x v="70"/>
    <s v="PROD_ID_002"/>
    <s v="Medium"/>
    <n v="2763"/>
    <n v="12"/>
    <n v="2320.92"/>
    <n v="30835.08"/>
    <n v="22546.080000000002"/>
    <d v="2021-04-07T00:00:00"/>
    <x v="5"/>
    <s v="Q2"/>
    <x v="0"/>
    <x v="68"/>
    <s v="Paseo"/>
    <x v="6"/>
  </r>
  <r>
    <x v="3"/>
    <x v="71"/>
    <s v="PROD_ID_002"/>
    <s v="Medium"/>
    <n v="2125"/>
    <n v="7"/>
    <n v="1041.25"/>
    <n v="13833.75"/>
    <n v="3208.75"/>
    <d v="2022-06-14T00:00:00"/>
    <x v="11"/>
    <s v="Q2"/>
    <x v="0"/>
    <x v="69"/>
    <s v="Paseo"/>
    <x v="7"/>
  </r>
  <r>
    <x v="3"/>
    <x v="40"/>
    <s v="PROD_ID_003"/>
    <s v="Medium"/>
    <n v="1421"/>
    <n v="20"/>
    <n v="1989.4"/>
    <n v="26430.6"/>
    <n v="12220.599999999999"/>
    <d v="2022-02-11T00:00:00"/>
    <x v="4"/>
    <s v="Q1"/>
    <x v="0"/>
    <x v="40"/>
    <s v="Velo"/>
    <x v="0"/>
  </r>
  <r>
    <x v="3"/>
    <x v="27"/>
    <s v="PROD_ID_003"/>
    <s v="Medium"/>
    <n v="588"/>
    <n v="20"/>
    <n v="823.2"/>
    <n v="10936.8"/>
    <n v="5056.7999999999993"/>
    <d v="2022-05-05T00:00:00"/>
    <x v="10"/>
    <s v="Q2"/>
    <x v="0"/>
    <x v="27"/>
    <s v="Velo"/>
    <x v="3"/>
  </r>
  <r>
    <x v="0"/>
    <x v="72"/>
    <s v="PROD_ID_006"/>
    <s v="Medium"/>
    <n v="994"/>
    <n v="125"/>
    <n v="8697.5"/>
    <n v="115552.5"/>
    <n v="-3727.5"/>
    <d v="2022-06-06T00:00:00"/>
    <x v="11"/>
    <s v="Q2"/>
    <x v="0"/>
    <x v="70"/>
    <s v="Amarilla"/>
    <x v="0"/>
  </r>
  <r>
    <x v="2"/>
    <x v="73"/>
    <s v="PROD_ID_001"/>
    <s v="Medium"/>
    <n v="1283"/>
    <n v="300"/>
    <n v="30792"/>
    <n v="354108"/>
    <n v="33358"/>
    <d v="2021-08-13T00:00:00"/>
    <x v="2"/>
    <s v="Q3"/>
    <x v="0"/>
    <x v="71"/>
    <s v="Montana"/>
    <x v="1"/>
  </r>
  <r>
    <x v="3"/>
    <x v="71"/>
    <s v="PROD_ID_002"/>
    <s v="Medium"/>
    <n v="2409"/>
    <n v="7"/>
    <n v="1349.04"/>
    <n v="15513.96"/>
    <n v="3468.9599999999991"/>
    <d v="2022-11-14T00:00:00"/>
    <x v="6"/>
    <s v="Q4"/>
    <x v="0"/>
    <x v="69"/>
    <s v="Paseo"/>
    <x v="7"/>
  </r>
  <r>
    <x v="3"/>
    <x v="71"/>
    <s v="PROD_ID_002"/>
    <s v="Medium"/>
    <n v="2146"/>
    <n v="350"/>
    <n v="60088"/>
    <n v="691012"/>
    <n v="133052"/>
    <d v="2021-10-21T00:00:00"/>
    <x v="9"/>
    <s v="Q4"/>
    <x v="0"/>
    <x v="69"/>
    <s v="Paseo"/>
    <x v="7"/>
  </r>
  <r>
    <x v="3"/>
    <x v="39"/>
    <s v="PROD_ID_002"/>
    <s v="Medium"/>
    <n v="1946"/>
    <n v="7"/>
    <n v="1089.76"/>
    <n v="12532.24"/>
    <n v="2802.24"/>
    <d v="2021-02-16T00:00:00"/>
    <x v="4"/>
    <s v="Q1"/>
    <x v="0"/>
    <x v="39"/>
    <s v="Paseo"/>
    <x v="7"/>
  </r>
  <r>
    <x v="2"/>
    <x v="60"/>
    <s v="PROD_ID_003"/>
    <s v="Medium"/>
    <n v="386"/>
    <n v="300"/>
    <n v="9264"/>
    <n v="106536"/>
    <n v="10036"/>
    <d v="2022-11-12T00:00:00"/>
    <x v="6"/>
    <s v="Q4"/>
    <x v="0"/>
    <x v="59"/>
    <s v="Velo"/>
    <x v="4"/>
  </r>
  <r>
    <x v="2"/>
    <x v="74"/>
    <s v="PROD_ID_004"/>
    <s v="Medium"/>
    <n v="808"/>
    <n v="300"/>
    <n v="19392"/>
    <n v="223008"/>
    <n v="21008"/>
    <d v="2022-06-30T00:00:00"/>
    <x v="11"/>
    <s v="Q2"/>
    <x v="0"/>
    <x v="72"/>
    <s v="VTT"/>
    <x v="2"/>
  </r>
  <r>
    <x v="4"/>
    <x v="75"/>
    <s v="PROD_ID_006"/>
    <s v="Medium"/>
    <n v="1375"/>
    <n v="12"/>
    <n v="1320"/>
    <n v="15180"/>
    <n v="11055"/>
    <d v="2022-10-07T00:00:00"/>
    <x v="9"/>
    <s v="Q4"/>
    <x v="0"/>
    <x v="73"/>
    <s v="Amarilla"/>
    <x v="3"/>
  </r>
  <r>
    <x v="4"/>
    <x v="76"/>
    <s v="PROD_ID_005"/>
    <s v="Medium"/>
    <n v="367"/>
    <n v="12"/>
    <n v="396.36"/>
    <n v="4007.64"/>
    <n v="2906.64"/>
    <d v="2022-02-17T00:00:00"/>
    <x v="4"/>
    <s v="Q1"/>
    <x v="0"/>
    <x v="74"/>
    <s v="Carretera"/>
    <x v="4"/>
  </r>
  <r>
    <x v="2"/>
    <x v="77"/>
    <s v="PROD_ID_001"/>
    <s v="Medium"/>
    <n v="322"/>
    <n v="300"/>
    <n v="8694"/>
    <n v="87906"/>
    <n v="7406"/>
    <d v="2021-06-14T00:00:00"/>
    <x v="11"/>
    <s v="Q2"/>
    <x v="0"/>
    <x v="75"/>
    <s v="Montana"/>
    <x v="5"/>
  </r>
  <r>
    <x v="0"/>
    <x v="78"/>
    <s v="PROD_ID_001"/>
    <s v="Medium"/>
    <n v="1857"/>
    <n v="125"/>
    <n v="20891.25"/>
    <n v="211233.75"/>
    <n v="-11606.25"/>
    <d v="2022-04-29T00:00:00"/>
    <x v="5"/>
    <s v="Q2"/>
    <x v="0"/>
    <x v="54"/>
    <s v="Montana"/>
    <x v="6"/>
  </r>
  <r>
    <x v="3"/>
    <x v="42"/>
    <s v="PROD_ID_001"/>
    <s v="Medium"/>
    <n v="1611"/>
    <n v="7"/>
    <n v="1014.93"/>
    <n v="10262.07"/>
    <n v="2207.0699999999997"/>
    <d v="2022-11-30T00:00:00"/>
    <x v="6"/>
    <s v="Q4"/>
    <x v="0"/>
    <x v="42"/>
    <s v="Montana"/>
    <x v="2"/>
  </r>
  <r>
    <x v="2"/>
    <x v="79"/>
    <s v="PROD_ID_001"/>
    <s v="Medium"/>
    <n v="334"/>
    <n v="300"/>
    <n v="9018"/>
    <n v="91182"/>
    <n v="7682"/>
    <d v="2022-03-19T00:00:00"/>
    <x v="8"/>
    <s v="Q1"/>
    <x v="0"/>
    <x v="66"/>
    <s v="Montana"/>
    <x v="7"/>
  </r>
  <r>
    <x v="4"/>
    <x v="70"/>
    <s v="PROD_ID_002"/>
    <s v="Medium"/>
    <n v="367"/>
    <n v="12"/>
    <n v="396.36"/>
    <n v="4007.64"/>
    <n v="2906.64"/>
    <d v="2022-06-25T00:00:00"/>
    <x v="11"/>
    <s v="Q2"/>
    <x v="0"/>
    <x v="68"/>
    <s v="Paseo"/>
    <x v="6"/>
  </r>
  <r>
    <x v="4"/>
    <x v="13"/>
    <s v="PROD_ID_002"/>
    <s v="Medium"/>
    <n v="1775"/>
    <n v="12"/>
    <n v="1917"/>
    <n v="19383"/>
    <n v="14058"/>
    <d v="2022-03-09T00:00:00"/>
    <x v="8"/>
    <s v="Q1"/>
    <x v="0"/>
    <x v="13"/>
    <s v="Paseo"/>
    <x v="5"/>
  </r>
  <r>
    <x v="4"/>
    <x v="80"/>
    <s v="PROD_ID_004"/>
    <s v="Medium"/>
    <n v="2234"/>
    <n v="12"/>
    <n v="2412.7199999999998"/>
    <n v="24395.279999999999"/>
    <n v="17693.28"/>
    <d v="2021-07-11T00:00:00"/>
    <x v="3"/>
    <s v="Q3"/>
    <x v="0"/>
    <x v="76"/>
    <s v="VTT"/>
    <x v="0"/>
  </r>
  <r>
    <x v="1"/>
    <x v="81"/>
    <s v="PROD_ID_006"/>
    <s v="Medium"/>
    <n v="970"/>
    <n v="15"/>
    <n v="1309.5"/>
    <n v="13240.5"/>
    <n v="3540.5"/>
    <d v="2022-08-16T00:00:00"/>
    <x v="2"/>
    <s v="Q3"/>
    <x v="0"/>
    <x v="77"/>
    <s v="Amarilla"/>
    <x v="1"/>
  </r>
  <r>
    <x v="3"/>
    <x v="7"/>
    <s v="PROD_ID_004"/>
    <s v="Medium"/>
    <n v="2682"/>
    <n v="20"/>
    <n v="4827.6000000000004"/>
    <n v="48812.4"/>
    <n v="21992.400000000001"/>
    <d v="2022-01-20T00:00:00"/>
    <x v="1"/>
    <s v="Q1"/>
    <x v="0"/>
    <x v="7"/>
    <s v="VTT"/>
    <x v="7"/>
  </r>
  <r>
    <x v="4"/>
    <x v="82"/>
    <s v="PROD_ID_006"/>
    <s v="Medium"/>
    <n v="306"/>
    <n v="12"/>
    <n v="330.48"/>
    <n v="3341.52"/>
    <n v="2423.52"/>
    <d v="2021-11-12T00:00:00"/>
    <x v="6"/>
    <s v="Q4"/>
    <x v="0"/>
    <x v="78"/>
    <s v="Amarilla"/>
    <x v="2"/>
  </r>
  <r>
    <x v="4"/>
    <x v="83"/>
    <s v="PROD_ID_005"/>
    <s v="High"/>
    <n v="386"/>
    <n v="12"/>
    <n v="463.2"/>
    <n v="4168.8"/>
    <n v="3010.8"/>
    <d v="2022-08-21T00:00:00"/>
    <x v="2"/>
    <s v="Q3"/>
    <x v="0"/>
    <x v="79"/>
    <s v="Carretera"/>
    <x v="3"/>
  </r>
  <r>
    <x v="4"/>
    <x v="4"/>
    <s v="PROD_ID_002"/>
    <s v="High"/>
    <n v="386"/>
    <n v="12"/>
    <n v="463.2"/>
    <n v="4168.8"/>
    <n v="3010.8"/>
    <d v="2022-01-13T00:00:00"/>
    <x v="1"/>
    <s v="Q1"/>
    <x v="0"/>
    <x v="4"/>
    <s v="Paseo"/>
    <x v="4"/>
  </r>
  <r>
    <x v="0"/>
    <x v="84"/>
    <s v="PROD_ID_005"/>
    <s v="High"/>
    <n v="1482"/>
    <n v="125"/>
    <n v="18525"/>
    <n v="166725"/>
    <n v="-11115"/>
    <d v="2022-04-28T00:00:00"/>
    <x v="5"/>
    <s v="Q2"/>
    <x v="0"/>
    <x v="80"/>
    <s v="Carretera"/>
    <x v="4"/>
  </r>
  <r>
    <x v="0"/>
    <x v="12"/>
    <s v="PROD_ID_001"/>
    <s v="High"/>
    <n v="1804"/>
    <n v="125"/>
    <n v="22550"/>
    <n v="202950"/>
    <n v="-13530"/>
    <d v="2022-04-21T00:00:00"/>
    <x v="5"/>
    <s v="Q2"/>
    <x v="0"/>
    <x v="12"/>
    <s v="Montana"/>
    <x v="4"/>
  </r>
  <r>
    <x v="1"/>
    <x v="1"/>
    <s v="PROD_ID_002"/>
    <s v="High"/>
    <n v="2167"/>
    <n v="15"/>
    <n v="3250.5"/>
    <n v="29254.5"/>
    <n v="7584.5"/>
    <d v="2021-09-25T00:00:00"/>
    <x v="0"/>
    <s v="Q3"/>
    <x v="0"/>
    <x v="1"/>
    <s v="Paseo"/>
    <x v="1"/>
  </r>
  <r>
    <x v="2"/>
    <x v="85"/>
    <s v="PROD_ID_003"/>
    <s v="High"/>
    <n v="2294"/>
    <n v="300"/>
    <n v="68820"/>
    <n v="619380"/>
    <n v="45880"/>
    <d v="2022-04-11T00:00:00"/>
    <x v="5"/>
    <s v="Q2"/>
    <x v="0"/>
    <x v="49"/>
    <s v="Velo"/>
    <x v="5"/>
  </r>
  <r>
    <x v="0"/>
    <x v="6"/>
    <s v="PROD_ID_003"/>
    <s v="High"/>
    <n v="1916"/>
    <n v="125"/>
    <n v="23950"/>
    <n v="215550"/>
    <n v="-14370"/>
    <d v="2021-02-08T00:00:00"/>
    <x v="4"/>
    <s v="Q1"/>
    <x v="0"/>
    <x v="6"/>
    <s v="Velo"/>
    <x v="6"/>
  </r>
  <r>
    <x v="2"/>
    <x v="74"/>
    <s v="PROD_ID_004"/>
    <s v="High"/>
    <n v="2294"/>
    <n v="300"/>
    <n v="68820"/>
    <n v="619380"/>
    <n v="45880"/>
    <d v="2022-06-18T00:00:00"/>
    <x v="11"/>
    <s v="Q2"/>
    <x v="0"/>
    <x v="72"/>
    <s v="VTT"/>
    <x v="2"/>
  </r>
  <r>
    <x v="1"/>
    <x v="86"/>
    <s v="PROD_ID_004"/>
    <s v="High"/>
    <n v="2167"/>
    <n v="15"/>
    <n v="3250.5"/>
    <n v="29254.5"/>
    <n v="7584.5"/>
    <d v="2022-08-11T00:00:00"/>
    <x v="2"/>
    <s v="Q3"/>
    <x v="0"/>
    <x v="50"/>
    <s v="VTT"/>
    <x v="6"/>
  </r>
  <r>
    <x v="3"/>
    <x v="55"/>
    <s v="PROD_ID_004"/>
    <s v="High"/>
    <n v="1870"/>
    <n v="350"/>
    <n v="65450"/>
    <n v="589050"/>
    <n v="102850"/>
    <d v="2022-07-23T00:00:00"/>
    <x v="3"/>
    <s v="Q3"/>
    <x v="0"/>
    <x v="55"/>
    <s v="VTT"/>
    <x v="7"/>
  </r>
  <r>
    <x v="4"/>
    <x v="87"/>
    <s v="PROD_ID_005"/>
    <s v="High"/>
    <n v="1198"/>
    <n v="12"/>
    <n v="1581.36"/>
    <n v="12794.64"/>
    <n v="9200.64"/>
    <d v="2022-04-21T00:00:00"/>
    <x v="5"/>
    <s v="Q2"/>
    <x v="0"/>
    <x v="81"/>
    <s v="Carretera"/>
    <x v="7"/>
  </r>
  <r>
    <x v="4"/>
    <x v="24"/>
    <s v="PROD_ID_002"/>
    <s v="High"/>
    <n v="1198"/>
    <n v="12"/>
    <n v="1581.36"/>
    <n v="12794.64"/>
    <n v="9200.64"/>
    <d v="2022-04-26T00:00:00"/>
    <x v="5"/>
    <s v="Q2"/>
    <x v="0"/>
    <x v="24"/>
    <s v="Paseo"/>
    <x v="0"/>
  </r>
  <r>
    <x v="4"/>
    <x v="88"/>
    <s v="PROD_ID_004"/>
    <s v="High"/>
    <n v="1005"/>
    <n v="12"/>
    <n v="1326.6"/>
    <n v="10733.4"/>
    <n v="7718.4"/>
    <d v="2021-06-22T00:00:00"/>
    <x v="11"/>
    <s v="Q2"/>
    <x v="0"/>
    <x v="82"/>
    <s v="VTT"/>
    <x v="0"/>
  </r>
  <r>
    <x v="1"/>
    <x v="89"/>
    <s v="PROD_ID_005"/>
    <s v="High"/>
    <n v="1560"/>
    <n v="15"/>
    <n v="2574"/>
    <n v="20826"/>
    <n v="5226"/>
    <d v="2021-01-23T00:00:00"/>
    <x v="1"/>
    <s v="Q1"/>
    <x v="0"/>
    <x v="83"/>
    <s v="Carretera"/>
    <x v="1"/>
  </r>
  <r>
    <x v="3"/>
    <x v="65"/>
    <s v="PROD_ID_005"/>
    <s v="High"/>
    <n v="2706"/>
    <n v="7"/>
    <n v="2083.62"/>
    <n v="16858.38"/>
    <n v="3328.380000000001"/>
    <d v="2022-03-25T00:00:00"/>
    <x v="8"/>
    <s v="Q1"/>
    <x v="0"/>
    <x v="64"/>
    <s v="Carretera"/>
    <x v="1"/>
  </r>
  <r>
    <x v="3"/>
    <x v="36"/>
    <s v="PROD_ID_001"/>
    <s v="High"/>
    <n v="2992"/>
    <n v="20"/>
    <n v="6582.4"/>
    <n v="53257.599999999999"/>
    <n v="23337.599999999999"/>
    <d v="2022-12-30T00:00:00"/>
    <x v="7"/>
    <s v="Q4"/>
    <x v="0"/>
    <x v="36"/>
    <s v="Montana"/>
    <x v="4"/>
  </r>
  <r>
    <x v="3"/>
    <x v="71"/>
    <s v="PROD_ID_002"/>
    <s v="High"/>
    <n v="2992"/>
    <n v="20"/>
    <n v="6582.4"/>
    <n v="53257.599999999999"/>
    <n v="23337.599999999999"/>
    <d v="2022-04-15T00:00:00"/>
    <x v="5"/>
    <s v="Q2"/>
    <x v="0"/>
    <x v="69"/>
    <s v="Paseo"/>
    <x v="7"/>
  </r>
  <r>
    <x v="3"/>
    <x v="53"/>
    <s v="PROD_ID_003"/>
    <s v="High"/>
    <n v="2805"/>
    <n v="20"/>
    <n v="6171"/>
    <n v="49929"/>
    <n v="21879"/>
    <d v="2021-10-09T00:00:00"/>
    <x v="9"/>
    <s v="Q4"/>
    <x v="0"/>
    <x v="53"/>
    <s v="Velo"/>
    <x v="5"/>
  </r>
  <r>
    <x v="1"/>
    <x v="90"/>
    <s v="PROD_ID_003"/>
    <s v="High"/>
    <n v="655"/>
    <n v="15"/>
    <n v="1080.75"/>
    <n v="8744.25"/>
    <n v="2194.25"/>
    <d v="2021-10-31T00:00:00"/>
    <x v="9"/>
    <s v="Q4"/>
    <x v="0"/>
    <x v="84"/>
    <s v="Velo"/>
    <x v="2"/>
  </r>
  <r>
    <x v="3"/>
    <x v="30"/>
    <s v="PROD_ID_003"/>
    <s v="High"/>
    <n v="344"/>
    <n v="350"/>
    <n v="13244"/>
    <n v="107156"/>
    <n v="17716"/>
    <d v="2022-04-03T00:00:00"/>
    <x v="5"/>
    <s v="Q2"/>
    <x v="0"/>
    <x v="30"/>
    <s v="Velo"/>
    <x v="6"/>
  </r>
  <r>
    <x v="3"/>
    <x v="54"/>
    <s v="PROD_ID_004"/>
    <s v="High"/>
    <n v="2935"/>
    <n v="20"/>
    <n v="6457"/>
    <n v="52243"/>
    <n v="22893"/>
    <d v="2022-03-09T00:00:00"/>
    <x v="8"/>
    <s v="Q1"/>
    <x v="0"/>
    <x v="54"/>
    <s v="VTT"/>
    <x v="6"/>
  </r>
  <r>
    <x v="0"/>
    <x v="91"/>
    <s v="PROD_ID_006"/>
    <s v="High"/>
    <n v="947"/>
    <n v="125"/>
    <n v="13021.25"/>
    <n v="105353.75"/>
    <n v="-8286.25"/>
    <d v="2021-10-24T00:00:00"/>
    <x v="9"/>
    <s v="Q4"/>
    <x v="0"/>
    <x v="85"/>
    <s v="Amarilla"/>
    <x v="3"/>
  </r>
  <r>
    <x v="3"/>
    <x v="92"/>
    <s v="PROD_ID_006"/>
    <s v="High"/>
    <n v="344"/>
    <n v="350"/>
    <n v="13244"/>
    <n v="107156"/>
    <n v="17716"/>
    <d v="2022-10-03T00:00:00"/>
    <x v="9"/>
    <s v="Q4"/>
    <x v="0"/>
    <x v="56"/>
    <s v="Amarilla"/>
    <x v="4"/>
  </r>
  <r>
    <x v="3"/>
    <x v="26"/>
    <s v="PROD_ID_002"/>
    <s v="High"/>
    <n v="380"/>
    <n v="7"/>
    <n v="292.60000000000002"/>
    <n v="2367.4"/>
    <n v="467.40000000000009"/>
    <d v="2022-04-30T00:00:00"/>
    <x v="5"/>
    <s v="Q2"/>
    <x v="0"/>
    <x v="26"/>
    <s v="Paseo"/>
    <x v="2"/>
  </r>
  <r>
    <x v="0"/>
    <x v="93"/>
    <s v="PROD_ID_005"/>
    <s v="High"/>
    <n v="2416"/>
    <n v="125"/>
    <n v="36240"/>
    <n v="265760"/>
    <n v="-24160"/>
    <d v="2021-11-11T00:00:00"/>
    <x v="6"/>
    <s v="Q4"/>
    <x v="0"/>
    <x v="86"/>
    <s v="Carretera"/>
    <x v="5"/>
  </r>
  <r>
    <x v="3"/>
    <x v="48"/>
    <s v="PROD_ID_001"/>
    <s v="High"/>
    <n v="1715"/>
    <n v="20"/>
    <n v="4116"/>
    <n v="30184"/>
    <n v="13034"/>
    <d v="2022-12-12T00:00:00"/>
    <x v="7"/>
    <s v="Q4"/>
    <x v="0"/>
    <x v="48"/>
    <s v="Montana"/>
    <x v="0"/>
  </r>
  <r>
    <x v="2"/>
    <x v="77"/>
    <s v="PROD_ID_001"/>
    <s v="High"/>
    <n v="1186"/>
    <n v="300"/>
    <n v="42696"/>
    <n v="313104"/>
    <n v="16604"/>
    <d v="2022-07-17T00:00:00"/>
    <x v="3"/>
    <s v="Q3"/>
    <x v="0"/>
    <x v="75"/>
    <s v="Montana"/>
    <x v="5"/>
  </r>
  <r>
    <x v="3"/>
    <x v="39"/>
    <s v="PROD_ID_002"/>
    <s v="High"/>
    <n v="1715"/>
    <n v="20"/>
    <n v="4116"/>
    <n v="30184"/>
    <n v="13034"/>
    <d v="2022-10-19T00:00:00"/>
    <x v="9"/>
    <s v="Q4"/>
    <x v="0"/>
    <x v="39"/>
    <s v="Paseo"/>
    <x v="7"/>
  </r>
  <r>
    <x v="1"/>
    <x v="43"/>
    <s v="PROD_ID_002"/>
    <s v="High"/>
    <n v="380"/>
    <n v="15"/>
    <n v="684"/>
    <n v="5016"/>
    <n v="1216"/>
    <d v="2022-05-17T00:00:00"/>
    <x v="10"/>
    <s v="Q2"/>
    <x v="0"/>
    <x v="43"/>
    <s v="Paseo"/>
    <x v="3"/>
  </r>
  <r>
    <x v="3"/>
    <x v="54"/>
    <s v="PROD_ID_004"/>
    <s v="High"/>
    <n v="623"/>
    <n v="350"/>
    <n v="26166"/>
    <n v="191884"/>
    <n v="29904"/>
    <d v="2021-02-28T00:00:00"/>
    <x v="4"/>
    <s v="Q1"/>
    <x v="0"/>
    <x v="54"/>
    <s v="VTT"/>
    <x v="6"/>
  </r>
  <r>
    <x v="1"/>
    <x v="45"/>
    <s v="PROD_ID_006"/>
    <s v="High"/>
    <n v="2548"/>
    <n v="15"/>
    <n v="4586.3999999999996"/>
    <n v="33633.599999999999"/>
    <n v="8153.5999999999985"/>
    <d v="2021-12-16T00:00:00"/>
    <x v="7"/>
    <s v="Q4"/>
    <x v="0"/>
    <x v="45"/>
    <s v="Amarilla"/>
    <x v="5"/>
  </r>
  <r>
    <x v="4"/>
    <x v="94"/>
    <s v="PROD_ID_006"/>
    <s v="High"/>
    <n v="2761"/>
    <n v="12"/>
    <n v="3975.84"/>
    <n v="29156.16"/>
    <n v="20873.16"/>
    <d v="2021-01-07T00:00:00"/>
    <x v="1"/>
    <s v="Q1"/>
    <x v="0"/>
    <x v="87"/>
    <s v="Amarilla"/>
    <x v="6"/>
  </r>
  <r>
    <x v="3"/>
    <x v="47"/>
    <s v="PROD_ID_005"/>
    <s v="High"/>
    <n v="442"/>
    <n v="20"/>
    <n v="1149.2"/>
    <n v="7690.8"/>
    <n v="3270.8"/>
    <d v="2021-03-22T00:00:00"/>
    <x v="8"/>
    <s v="Q1"/>
    <x v="0"/>
    <x v="47"/>
    <s v="Carretera"/>
    <x v="7"/>
  </r>
  <r>
    <x v="1"/>
    <x v="95"/>
    <s v="PROD_ID_003"/>
    <s v="High"/>
    <n v="660"/>
    <n v="15"/>
    <n v="1287"/>
    <n v="8613"/>
    <n v="2013"/>
    <d v="2022-07-04T00:00:00"/>
    <x v="3"/>
    <s v="Q3"/>
    <x v="0"/>
    <x v="88"/>
    <s v="Velo"/>
    <x v="7"/>
  </r>
  <r>
    <x v="2"/>
    <x v="96"/>
    <s v="PROD_ID_003"/>
    <s v="High"/>
    <n v="2605"/>
    <n v="300"/>
    <n v="101595"/>
    <n v="679905"/>
    <n v="28655"/>
    <d v="2022-08-21T00:00:00"/>
    <x v="2"/>
    <s v="Q3"/>
    <x v="0"/>
    <x v="89"/>
    <s v="Velo"/>
    <x v="0"/>
  </r>
  <r>
    <x v="4"/>
    <x v="97"/>
    <s v="PROD_ID_006"/>
    <s v="High"/>
    <n v="1770"/>
    <n v="12"/>
    <n v="2761.2"/>
    <n v="18478.8"/>
    <n v="13168.8"/>
    <d v="2021-01-21T00:00:00"/>
    <x v="1"/>
    <s v="Q1"/>
    <x v="0"/>
    <x v="71"/>
    <s v="Amarilla"/>
    <x v="1"/>
  </r>
  <r>
    <x v="3"/>
    <x v="56"/>
    <s v="PROD_ID_005"/>
    <s v="High"/>
    <n v="2996"/>
    <n v="7"/>
    <n v="2936.08"/>
    <n v="18035.919999999998"/>
    <n v="3055.9199999999983"/>
    <d v="2021-06-04T00:00:00"/>
    <x v="11"/>
    <s v="Q2"/>
    <x v="0"/>
    <x v="56"/>
    <s v="Carretera"/>
    <x v="0"/>
  </r>
  <r>
    <x v="3"/>
    <x v="98"/>
    <s v="PROD_ID_001"/>
    <s v="High"/>
    <n v="2996"/>
    <n v="7"/>
    <n v="2936.08"/>
    <n v="18035.919999999998"/>
    <n v="3055.9199999999983"/>
    <d v="2022-03-06T00:00:00"/>
    <x v="8"/>
    <s v="Q1"/>
    <x v="0"/>
    <x v="72"/>
    <s v="Montana"/>
    <x v="2"/>
  </r>
  <r>
    <x v="4"/>
    <x v="17"/>
    <s v="PROD_ID_006"/>
    <s v="High"/>
    <n v="2015"/>
    <n v="12"/>
    <n v="3385.2"/>
    <n v="20794.8"/>
    <n v="14749.8"/>
    <d v="2022-08-07T00:00:00"/>
    <x v="2"/>
    <s v="Q3"/>
    <x v="0"/>
    <x v="17"/>
    <s v="Amarilla"/>
    <x v="1"/>
  </r>
  <r>
    <x v="0"/>
    <x v="84"/>
    <s v="PROD_ID_005"/>
    <s v="High"/>
    <n v="1023"/>
    <n v="125"/>
    <n v="17902.5"/>
    <n v="109972.5"/>
    <n v="-12787.5"/>
    <d v="2021-03-28T00:00:00"/>
    <x v="8"/>
    <s v="Q1"/>
    <x v="0"/>
    <x v="80"/>
    <s v="Carretera"/>
    <x v="4"/>
  </r>
  <r>
    <x v="0"/>
    <x v="99"/>
    <s v="PROD_ID_005"/>
    <s v="High"/>
    <n v="2821"/>
    <n v="125"/>
    <n v="49367.5"/>
    <n v="303257.5"/>
    <n v="-35262.5"/>
    <d v="2022-07-08T00:00:00"/>
    <x v="3"/>
    <s v="Q3"/>
    <x v="0"/>
    <x v="73"/>
    <s v="Carretera"/>
    <x v="3"/>
  </r>
  <r>
    <x v="3"/>
    <x v="48"/>
    <s v="PROD_ID_001"/>
    <s v="High"/>
    <n v="1727"/>
    <n v="7"/>
    <n v="1692.46"/>
    <n v="10396.540000000001"/>
    <n v="1761.5400000000009"/>
    <d v="2021-11-16T00:00:00"/>
    <x v="6"/>
    <s v="Q4"/>
    <x v="0"/>
    <x v="48"/>
    <s v="Montana"/>
    <x v="0"/>
  </r>
  <r>
    <x v="1"/>
    <x v="5"/>
    <s v="PROD_ID_002"/>
    <s v="High"/>
    <n v="2470"/>
    <n v="15"/>
    <n v="5187"/>
    <n v="31863"/>
    <n v="7163"/>
    <d v="2021-04-01T00:00:00"/>
    <x v="5"/>
    <s v="Q2"/>
    <x v="0"/>
    <x v="5"/>
    <s v="Paseo"/>
    <x v="5"/>
  </r>
  <r>
    <x v="1"/>
    <x v="5"/>
    <s v="PROD_ID_002"/>
    <s v="High"/>
    <n v="1743"/>
    <n v="15"/>
    <n v="3660.3"/>
    <n v="22484.7"/>
    <n v="5054.7000000000007"/>
    <d v="2022-04-22T00:00:00"/>
    <x v="5"/>
    <s v="Q2"/>
    <x v="0"/>
    <x v="5"/>
    <s v="Paseo"/>
    <x v="5"/>
  </r>
  <r>
    <x v="4"/>
    <x v="59"/>
    <s v="PROD_ID_002"/>
    <s v="High"/>
    <n v="2222"/>
    <n v="12"/>
    <n v="3732.96"/>
    <n v="22931.040000000001"/>
    <n v="16265.04"/>
    <d v="2021-05-01T00:00:00"/>
    <x v="10"/>
    <s v="Q2"/>
    <x v="0"/>
    <x v="41"/>
    <s v="Paseo"/>
    <x v="3"/>
  </r>
  <r>
    <x v="3"/>
    <x v="51"/>
    <s v="PROD_ID_002"/>
    <s v="High"/>
    <n v="1922"/>
    <n v="350"/>
    <n v="94178"/>
    <n v="578522"/>
    <n v="78802"/>
    <d v="2022-06-19T00:00:00"/>
    <x v="11"/>
    <s v="Q2"/>
    <x v="0"/>
    <x v="51"/>
    <s v="Paseo"/>
    <x v="3"/>
  </r>
  <r>
    <x v="2"/>
    <x v="100"/>
    <s v="PROD_ID_003"/>
    <s v="High"/>
    <n v="269"/>
    <n v="300"/>
    <n v="11298"/>
    <n v="69402"/>
    <n v="2152"/>
    <d v="2022-01-08T00:00:00"/>
    <x v="1"/>
    <s v="Q1"/>
    <x v="0"/>
    <x v="52"/>
    <s v="Velo"/>
    <x v="4"/>
  </r>
  <r>
    <x v="2"/>
    <x v="101"/>
    <s v="PROD_ID_003"/>
    <s v="High"/>
    <n v="2536"/>
    <n v="300"/>
    <n v="106512"/>
    <n v="654288"/>
    <n v="20288"/>
    <d v="2022-09-03T00:00:00"/>
    <x v="0"/>
    <s v="Q3"/>
    <x v="0"/>
    <x v="90"/>
    <s v="Velo"/>
    <x v="5"/>
  </r>
  <r>
    <x v="2"/>
    <x v="62"/>
    <s v="PROD_ID_004"/>
    <s v="High"/>
    <n v="269"/>
    <n v="300"/>
    <n v="11298"/>
    <n v="69402"/>
    <n v="2152"/>
    <d v="2022-10-19T00:00:00"/>
    <x v="9"/>
    <s v="Q4"/>
    <x v="0"/>
    <x v="61"/>
    <s v="VTT"/>
    <x v="6"/>
  </r>
  <r>
    <x v="3"/>
    <x v="7"/>
    <s v="PROD_ID_004"/>
    <s v="High"/>
    <n v="1281"/>
    <n v="350"/>
    <n v="62769"/>
    <n v="385581"/>
    <n v="52521"/>
    <d v="2022-01-19T00:00:00"/>
    <x v="1"/>
    <s v="Q1"/>
    <x v="0"/>
    <x v="7"/>
    <s v="VTT"/>
    <x v="7"/>
  </r>
  <r>
    <x v="1"/>
    <x v="102"/>
    <s v="PROD_ID_006"/>
    <s v="High"/>
    <n v="1743"/>
    <n v="15"/>
    <n v="3660.3"/>
    <n v="22484.7"/>
    <n v="5054.7000000000007"/>
    <d v="2021-10-07T00:00:00"/>
    <x v="9"/>
    <s v="Q4"/>
    <x v="0"/>
    <x v="91"/>
    <s v="Amarilla"/>
    <x v="6"/>
  </r>
  <r>
    <x v="3"/>
    <x v="92"/>
    <s v="PROD_ID_006"/>
    <s v="High"/>
    <n v="1727"/>
    <n v="7"/>
    <n v="1692.46"/>
    <n v="10396.540000000001"/>
    <n v="1761.5400000000009"/>
    <d v="2022-11-30T00:00:00"/>
    <x v="6"/>
    <s v="Q4"/>
    <x v="0"/>
    <x v="56"/>
    <s v="Amarilla"/>
    <x v="4"/>
  </r>
  <r>
    <x v="1"/>
    <x v="103"/>
    <s v="PROD_ID_006"/>
    <s v="High"/>
    <n v="1870"/>
    <n v="15"/>
    <n v="3927"/>
    <n v="24123"/>
    <n v="5423"/>
    <d v="2021-11-21T00:00:00"/>
    <x v="6"/>
    <s v="Q4"/>
    <x v="0"/>
    <x v="92"/>
    <s v="Amarilla"/>
    <x v="7"/>
  </r>
  <r>
    <x v="3"/>
    <x v="26"/>
    <s v="PROD_ID_002"/>
    <s v="High"/>
    <n v="267"/>
    <n v="20"/>
    <n v="801"/>
    <n v="4539"/>
    <n v="1869"/>
    <d v="2021-03-21T00:00:00"/>
    <x v="8"/>
    <s v="Q1"/>
    <x v="0"/>
    <x v="26"/>
    <s v="Paseo"/>
    <x v="2"/>
  </r>
  <r>
    <x v="3"/>
    <x v="26"/>
    <s v="PROD_ID_002"/>
    <s v="High"/>
    <n v="2007"/>
    <n v="350"/>
    <n v="105367.5"/>
    <n v="597082.5"/>
    <n v="75262.5"/>
    <d v="2022-09-02T00:00:00"/>
    <x v="0"/>
    <s v="Q3"/>
    <x v="0"/>
    <x v="26"/>
    <s v="Paseo"/>
    <x v="2"/>
  </r>
  <r>
    <x v="3"/>
    <x v="39"/>
    <s v="PROD_ID_002"/>
    <s v="High"/>
    <n v="2151"/>
    <n v="350"/>
    <n v="112927.5"/>
    <n v="639922.5"/>
    <n v="80662.5"/>
    <d v="2021-02-01T00:00:00"/>
    <x v="4"/>
    <s v="Q1"/>
    <x v="0"/>
    <x v="39"/>
    <s v="Paseo"/>
    <x v="7"/>
  </r>
  <r>
    <x v="2"/>
    <x v="85"/>
    <s v="PROD_ID_003"/>
    <s v="High"/>
    <n v="2574"/>
    <n v="300"/>
    <n v="115830"/>
    <n v="656370"/>
    <n v="12870"/>
    <d v="2022-06-13T00:00:00"/>
    <x v="11"/>
    <s v="Q2"/>
    <x v="0"/>
    <x v="49"/>
    <s v="Velo"/>
    <x v="5"/>
  </r>
  <r>
    <x v="0"/>
    <x v="14"/>
    <s v="PROD_ID_003"/>
    <s v="High"/>
    <n v="2438"/>
    <n v="125"/>
    <n v="45712.5"/>
    <n v="259037.5"/>
    <n v="-33522.5"/>
    <d v="2021-03-02T00:00:00"/>
    <x v="8"/>
    <s v="Q1"/>
    <x v="0"/>
    <x v="14"/>
    <s v="Velo"/>
    <x v="6"/>
  </r>
  <r>
    <x v="3"/>
    <x v="32"/>
    <s v="PROD_ID_004"/>
    <s v="High"/>
    <n v="267"/>
    <n v="20"/>
    <n v="801"/>
    <n v="4539"/>
    <n v="1869"/>
    <d v="2021-10-27T00:00:00"/>
    <x v="9"/>
    <s v="Q4"/>
    <x v="0"/>
    <x v="32"/>
    <s v="VTT"/>
    <x v="0"/>
  </r>
  <r>
    <x v="0"/>
    <x v="104"/>
    <s v="PROD_ID_004"/>
    <s v="High"/>
    <n v="2954"/>
    <n v="125"/>
    <n v="55387.5"/>
    <n v="313862.5"/>
    <n v="-40617.5"/>
    <d v="2021-02-22T00:00:00"/>
    <x v="4"/>
    <s v="Q1"/>
    <x v="0"/>
    <x v="38"/>
    <s v="VTT"/>
    <x v="0"/>
  </r>
  <r>
    <x v="3"/>
    <x v="41"/>
    <s v="PROD_ID_005"/>
    <s v="None"/>
    <n v="1618.5"/>
    <n v="20"/>
    <n v="0"/>
    <n v="32370"/>
    <n v="16185"/>
    <d v="2021-03-02T00:00:00"/>
    <x v="8"/>
    <s v="Q1"/>
    <x v="1"/>
    <x v="41"/>
    <s v="Carretera"/>
    <x v="1"/>
  </r>
  <r>
    <x v="3"/>
    <x v="47"/>
    <s v="PROD_ID_005"/>
    <s v="None"/>
    <n v="1321"/>
    <n v="20"/>
    <n v="0"/>
    <n v="26420"/>
    <n v="13210"/>
    <d v="2021-03-08T00:00:00"/>
    <x v="8"/>
    <s v="Q1"/>
    <x v="1"/>
    <x v="47"/>
    <s v="Carretera"/>
    <x v="7"/>
  </r>
  <r>
    <x v="1"/>
    <x v="105"/>
    <s v="PROD_ID_005"/>
    <s v="None"/>
    <n v="2178"/>
    <n v="15"/>
    <n v="0"/>
    <n v="32670"/>
    <n v="10890"/>
    <d v="2022-11-08T00:00:00"/>
    <x v="6"/>
    <s v="Q4"/>
    <x v="1"/>
    <x v="57"/>
    <s v="Carretera"/>
    <x v="1"/>
  </r>
  <r>
    <x v="1"/>
    <x v="106"/>
    <s v="PROD_ID_005"/>
    <s v="None"/>
    <n v="888"/>
    <n v="15"/>
    <n v="0"/>
    <n v="13320"/>
    <n v="4440"/>
    <d v="2021-05-18T00:00:00"/>
    <x v="10"/>
    <s v="Q2"/>
    <x v="1"/>
    <x v="93"/>
    <s v="Carretera"/>
    <x v="2"/>
  </r>
  <r>
    <x v="1"/>
    <x v="107"/>
    <s v="PROD_ID_005"/>
    <s v="None"/>
    <n v="2470"/>
    <n v="15"/>
    <n v="0"/>
    <n v="37050"/>
    <n v="12350"/>
    <d v="2022-09-16T00:00:00"/>
    <x v="0"/>
    <s v="Q3"/>
    <x v="1"/>
    <x v="79"/>
    <s v="Carretera"/>
    <x v="3"/>
  </r>
  <r>
    <x v="3"/>
    <x v="47"/>
    <s v="PROD_ID_005"/>
    <s v="None"/>
    <n v="1513"/>
    <n v="350"/>
    <n v="0"/>
    <n v="529550"/>
    <n v="136170"/>
    <d v="2022-01-11T00:00:00"/>
    <x v="1"/>
    <s v="Q1"/>
    <x v="1"/>
    <x v="47"/>
    <s v="Carretera"/>
    <x v="7"/>
  </r>
  <r>
    <x v="1"/>
    <x v="108"/>
    <s v="PROD_ID_001"/>
    <s v="None"/>
    <n v="921"/>
    <n v="15"/>
    <n v="0"/>
    <n v="13815"/>
    <n v="4605"/>
    <d v="2022-10-23T00:00:00"/>
    <x v="9"/>
    <s v="Q4"/>
    <x v="1"/>
    <x v="80"/>
    <s v="Montana"/>
    <x v="4"/>
  </r>
  <r>
    <x v="4"/>
    <x v="109"/>
    <s v="PROD_ID_001"/>
    <s v="None"/>
    <n v="2518"/>
    <n v="12"/>
    <n v="0"/>
    <n v="30216"/>
    <n v="22662"/>
    <d v="2021-10-24T00:00:00"/>
    <x v="9"/>
    <s v="Q4"/>
    <x v="1"/>
    <x v="49"/>
    <s v="Montana"/>
    <x v="5"/>
  </r>
  <r>
    <x v="3"/>
    <x v="58"/>
    <s v="PROD_ID_001"/>
    <s v="None"/>
    <n v="1899"/>
    <n v="20"/>
    <n v="0"/>
    <n v="37980"/>
    <n v="18990"/>
    <d v="2022-01-02T00:00:00"/>
    <x v="1"/>
    <s v="Q1"/>
    <x v="1"/>
    <x v="58"/>
    <s v="Montana"/>
    <x v="2"/>
  </r>
  <r>
    <x v="4"/>
    <x v="110"/>
    <s v="PROD_ID_001"/>
    <s v="None"/>
    <n v="1545"/>
    <n v="12"/>
    <n v="0"/>
    <n v="18540"/>
    <n v="13905"/>
    <d v="2021-03-14T00:00:00"/>
    <x v="8"/>
    <s v="Q1"/>
    <x v="1"/>
    <x v="50"/>
    <s v="Montana"/>
    <x v="6"/>
  </r>
  <r>
    <x v="1"/>
    <x v="111"/>
    <s v="PROD_ID_001"/>
    <s v="None"/>
    <n v="2470"/>
    <n v="15"/>
    <n v="0"/>
    <n v="37050"/>
    <n v="12350"/>
    <d v="2021-07-29T00:00:00"/>
    <x v="3"/>
    <s v="Q3"/>
    <x v="1"/>
    <x v="81"/>
    <s v="Montana"/>
    <x v="7"/>
  </r>
  <r>
    <x v="0"/>
    <x v="0"/>
    <s v="PROD_ID_001"/>
    <s v="None"/>
    <n v="2665.5"/>
    <n v="125"/>
    <n v="0"/>
    <n v="333187.5"/>
    <n v="13327.5"/>
    <d v="2022-02-25T00:00:00"/>
    <x v="4"/>
    <s v="Q1"/>
    <x v="1"/>
    <x v="0"/>
    <s v="Montana"/>
    <x v="0"/>
  </r>
  <r>
    <x v="2"/>
    <x v="49"/>
    <s v="PROD_ID_001"/>
    <s v="None"/>
    <n v="958"/>
    <n v="300"/>
    <n v="0"/>
    <n v="287400"/>
    <n v="47900"/>
    <d v="2022-02-13T00:00:00"/>
    <x v="4"/>
    <s v="Q1"/>
    <x v="1"/>
    <x v="49"/>
    <s v="Montana"/>
    <x v="1"/>
  </r>
  <r>
    <x v="3"/>
    <x v="36"/>
    <s v="PROD_ID_001"/>
    <s v="None"/>
    <n v="2146"/>
    <n v="7"/>
    <n v="0"/>
    <n v="15022"/>
    <n v="4292"/>
    <d v="2022-01-25T00:00:00"/>
    <x v="1"/>
    <s v="Q1"/>
    <x v="1"/>
    <x v="36"/>
    <s v="Montana"/>
    <x v="4"/>
  </r>
  <r>
    <x v="1"/>
    <x v="112"/>
    <s v="PROD_ID_001"/>
    <s v="None"/>
    <n v="615"/>
    <n v="15"/>
    <n v="0"/>
    <n v="9225"/>
    <n v="3075"/>
    <d v="2021-03-09T00:00:00"/>
    <x v="8"/>
    <s v="Q1"/>
    <x v="1"/>
    <x v="82"/>
    <s v="Montana"/>
    <x v="0"/>
  </r>
  <r>
    <x v="3"/>
    <x v="3"/>
    <s v="PROD_ID_002"/>
    <s v="None"/>
    <n v="292"/>
    <n v="20"/>
    <n v="0"/>
    <n v="5840"/>
    <n v="2920"/>
    <d v="2021-04-30T00:00:00"/>
    <x v="5"/>
    <s v="Q2"/>
    <x v="1"/>
    <x v="3"/>
    <s v="Paseo"/>
    <x v="3"/>
  </r>
  <r>
    <x v="1"/>
    <x v="43"/>
    <s v="PROD_ID_002"/>
    <s v="None"/>
    <n v="974"/>
    <n v="15"/>
    <n v="0"/>
    <n v="14610"/>
    <n v="4870"/>
    <d v="2022-04-04T00:00:00"/>
    <x v="5"/>
    <s v="Q2"/>
    <x v="1"/>
    <x v="43"/>
    <s v="Paseo"/>
    <x v="3"/>
  </r>
  <r>
    <x v="4"/>
    <x v="59"/>
    <s v="PROD_ID_002"/>
    <s v="None"/>
    <n v="2518"/>
    <n v="12"/>
    <n v="0"/>
    <n v="30216"/>
    <n v="22662"/>
    <d v="2022-11-04T00:00:00"/>
    <x v="6"/>
    <s v="Q4"/>
    <x v="1"/>
    <x v="41"/>
    <s v="Paseo"/>
    <x v="3"/>
  </r>
  <r>
    <x v="3"/>
    <x v="71"/>
    <s v="PROD_ID_002"/>
    <s v="None"/>
    <n v="1006"/>
    <n v="350"/>
    <n v="0"/>
    <n v="352100"/>
    <n v="90540"/>
    <d v="2022-07-20T00:00:00"/>
    <x v="3"/>
    <s v="Q3"/>
    <x v="1"/>
    <x v="69"/>
    <s v="Paseo"/>
    <x v="7"/>
  </r>
  <r>
    <x v="4"/>
    <x v="13"/>
    <s v="PROD_ID_002"/>
    <s v="None"/>
    <n v="367"/>
    <n v="12"/>
    <n v="0"/>
    <n v="4404"/>
    <n v="3303"/>
    <d v="2021-05-24T00:00:00"/>
    <x v="10"/>
    <s v="Q2"/>
    <x v="1"/>
    <x v="13"/>
    <s v="Paseo"/>
    <x v="5"/>
  </r>
  <r>
    <x v="3"/>
    <x v="39"/>
    <s v="PROD_ID_002"/>
    <s v="None"/>
    <n v="883"/>
    <n v="7"/>
    <n v="0"/>
    <n v="6181"/>
    <n v="1766"/>
    <d v="2021-08-29T00:00:00"/>
    <x v="2"/>
    <s v="Q3"/>
    <x v="1"/>
    <x v="39"/>
    <s v="Paseo"/>
    <x v="7"/>
  </r>
  <r>
    <x v="1"/>
    <x v="43"/>
    <s v="PROD_ID_002"/>
    <s v="None"/>
    <n v="2472"/>
    <n v="15"/>
    <n v="0"/>
    <n v="37080"/>
    <n v="12360"/>
    <d v="2021-02-27T00:00:00"/>
    <x v="4"/>
    <s v="Q1"/>
    <x v="1"/>
    <x v="43"/>
    <s v="Paseo"/>
    <x v="3"/>
  </r>
  <r>
    <x v="3"/>
    <x v="26"/>
    <s v="PROD_ID_002"/>
    <s v="None"/>
    <n v="1143"/>
    <n v="7"/>
    <n v="0"/>
    <n v="8001"/>
    <n v="2286"/>
    <d v="2022-11-10T00:00:00"/>
    <x v="6"/>
    <s v="Q4"/>
    <x v="1"/>
    <x v="26"/>
    <s v="Paseo"/>
    <x v="2"/>
  </r>
  <r>
    <x v="3"/>
    <x v="3"/>
    <s v="PROD_ID_002"/>
    <s v="None"/>
    <n v="1817"/>
    <n v="20"/>
    <n v="0"/>
    <n v="36340"/>
    <n v="18170"/>
    <d v="2022-01-18T00:00:00"/>
    <x v="1"/>
    <s v="Q1"/>
    <x v="1"/>
    <x v="3"/>
    <s v="Paseo"/>
    <x v="3"/>
  </r>
  <r>
    <x v="3"/>
    <x v="71"/>
    <s v="PROD_ID_002"/>
    <s v="None"/>
    <n v="1513"/>
    <n v="350"/>
    <n v="0"/>
    <n v="529550"/>
    <n v="136170"/>
    <d v="2022-02-11T00:00:00"/>
    <x v="4"/>
    <s v="Q1"/>
    <x v="1"/>
    <x v="69"/>
    <s v="Paseo"/>
    <x v="7"/>
  </r>
  <r>
    <x v="3"/>
    <x v="30"/>
    <s v="PROD_ID_003"/>
    <s v="None"/>
    <n v="1493"/>
    <n v="7"/>
    <n v="0"/>
    <n v="10451"/>
    <n v="2986"/>
    <d v="2022-03-04T00:00:00"/>
    <x v="8"/>
    <s v="Q1"/>
    <x v="1"/>
    <x v="30"/>
    <s v="Velo"/>
    <x v="6"/>
  </r>
  <r>
    <x v="0"/>
    <x v="52"/>
    <s v="PROD_ID_003"/>
    <s v="None"/>
    <n v="1804"/>
    <n v="125"/>
    <n v="0"/>
    <n v="225500"/>
    <n v="9020"/>
    <d v="2022-06-28T00:00:00"/>
    <x v="11"/>
    <s v="Q2"/>
    <x v="1"/>
    <x v="52"/>
    <s v="Velo"/>
    <x v="4"/>
  </r>
  <r>
    <x v="4"/>
    <x v="113"/>
    <s v="PROD_ID_003"/>
    <s v="None"/>
    <n v="2161"/>
    <n v="12"/>
    <n v="0"/>
    <n v="25932"/>
    <n v="19449"/>
    <d v="2021-08-19T00:00:00"/>
    <x v="2"/>
    <s v="Q3"/>
    <x v="1"/>
    <x v="83"/>
    <s v="Velo"/>
    <x v="1"/>
  </r>
  <r>
    <x v="3"/>
    <x v="27"/>
    <s v="PROD_ID_003"/>
    <s v="None"/>
    <n v="1006"/>
    <n v="350"/>
    <n v="0"/>
    <n v="352100"/>
    <n v="90540"/>
    <d v="2022-10-04T00:00:00"/>
    <x v="9"/>
    <s v="Q4"/>
    <x v="1"/>
    <x v="27"/>
    <s v="Velo"/>
    <x v="3"/>
  </r>
  <r>
    <x v="4"/>
    <x v="113"/>
    <s v="PROD_ID_003"/>
    <s v="None"/>
    <n v="1545"/>
    <n v="12"/>
    <n v="0"/>
    <n v="18540"/>
    <n v="13905"/>
    <d v="2022-08-04T00:00:00"/>
    <x v="2"/>
    <s v="Q3"/>
    <x v="1"/>
    <x v="83"/>
    <s v="Velo"/>
    <x v="1"/>
  </r>
  <r>
    <x v="0"/>
    <x v="14"/>
    <s v="PROD_ID_003"/>
    <s v="None"/>
    <n v="2821"/>
    <n v="125"/>
    <n v="0"/>
    <n v="352625"/>
    <n v="14105"/>
    <d v="2022-08-19T00:00:00"/>
    <x v="2"/>
    <s v="Q3"/>
    <x v="1"/>
    <x v="14"/>
    <s v="Velo"/>
    <x v="6"/>
  </r>
  <r>
    <x v="2"/>
    <x v="62"/>
    <s v="PROD_ID_004"/>
    <s v="None"/>
    <n v="2001"/>
    <n v="300"/>
    <n v="0"/>
    <n v="600300"/>
    <n v="100050"/>
    <d v="2022-03-26T00:00:00"/>
    <x v="8"/>
    <s v="Q1"/>
    <x v="1"/>
    <x v="61"/>
    <s v="VTT"/>
    <x v="6"/>
  </r>
  <r>
    <x v="4"/>
    <x v="66"/>
    <s v="PROD_ID_004"/>
    <s v="None"/>
    <n v="2838"/>
    <n v="12"/>
    <n v="0"/>
    <n v="34056"/>
    <n v="25542"/>
    <d v="2022-07-03T00:00:00"/>
    <x v="3"/>
    <s v="Q3"/>
    <x v="1"/>
    <x v="65"/>
    <s v="VTT"/>
    <x v="2"/>
  </r>
  <r>
    <x v="1"/>
    <x v="86"/>
    <s v="PROD_ID_004"/>
    <s v="None"/>
    <n v="2178"/>
    <n v="15"/>
    <n v="0"/>
    <n v="32670"/>
    <n v="10890"/>
    <d v="2021-07-24T00:00:00"/>
    <x v="3"/>
    <s v="Q3"/>
    <x v="1"/>
    <x v="50"/>
    <s v="VTT"/>
    <x v="6"/>
  </r>
  <r>
    <x v="1"/>
    <x v="38"/>
    <s v="PROD_ID_004"/>
    <s v="None"/>
    <n v="888"/>
    <n v="15"/>
    <n v="0"/>
    <n v="13320"/>
    <n v="4440"/>
    <d v="2021-02-03T00:00:00"/>
    <x v="4"/>
    <s v="Q1"/>
    <x v="1"/>
    <x v="38"/>
    <s v="VTT"/>
    <x v="6"/>
  </r>
  <r>
    <x v="2"/>
    <x v="61"/>
    <s v="PROD_ID_004"/>
    <s v="None"/>
    <n v="2151"/>
    <n v="300"/>
    <n v="0"/>
    <n v="645300"/>
    <n v="107550"/>
    <d v="2021-05-23T00:00:00"/>
    <x v="10"/>
    <s v="Q2"/>
    <x v="1"/>
    <x v="60"/>
    <s v="VTT"/>
    <x v="5"/>
  </r>
  <r>
    <x v="3"/>
    <x v="54"/>
    <s v="PROD_ID_004"/>
    <s v="None"/>
    <n v="1817"/>
    <n v="20"/>
    <n v="0"/>
    <n v="36340"/>
    <n v="18170"/>
    <d v="2022-12-15T00:00:00"/>
    <x v="7"/>
    <s v="Q4"/>
    <x v="1"/>
    <x v="54"/>
    <s v="VTT"/>
    <x v="6"/>
  </r>
  <r>
    <x v="3"/>
    <x v="64"/>
    <s v="PROD_ID_006"/>
    <s v="None"/>
    <n v="2750"/>
    <n v="350"/>
    <n v="0"/>
    <n v="962500"/>
    <n v="247500"/>
    <d v="2021-08-23T00:00:00"/>
    <x v="2"/>
    <s v="Q3"/>
    <x v="1"/>
    <x v="63"/>
    <s v="Amarilla"/>
    <x v="0"/>
  </r>
  <r>
    <x v="4"/>
    <x v="17"/>
    <s v="PROD_ID_006"/>
    <s v="None"/>
    <n v="1953"/>
    <n v="12"/>
    <n v="0"/>
    <n v="23436"/>
    <n v="17577"/>
    <d v="2021-10-13T00:00:00"/>
    <x v="9"/>
    <s v="Q4"/>
    <x v="1"/>
    <x v="17"/>
    <s v="Amarilla"/>
    <x v="1"/>
  </r>
  <r>
    <x v="0"/>
    <x v="72"/>
    <s v="PROD_ID_006"/>
    <s v="None"/>
    <n v="4219.5"/>
    <n v="125"/>
    <n v="0"/>
    <n v="527437.5"/>
    <n v="21097.5"/>
    <d v="2022-02-20T00:00:00"/>
    <x v="4"/>
    <s v="Q1"/>
    <x v="1"/>
    <x v="70"/>
    <s v="Amarilla"/>
    <x v="0"/>
  </r>
  <r>
    <x v="3"/>
    <x v="64"/>
    <s v="PROD_ID_006"/>
    <s v="None"/>
    <n v="1899"/>
    <n v="20"/>
    <n v="0"/>
    <n v="37980"/>
    <n v="18990"/>
    <d v="2022-07-03T00:00:00"/>
    <x v="3"/>
    <s v="Q3"/>
    <x v="1"/>
    <x v="63"/>
    <s v="Amarilla"/>
    <x v="0"/>
  </r>
  <r>
    <x v="3"/>
    <x v="34"/>
    <s v="PROD_ID_006"/>
    <s v="None"/>
    <n v="1686"/>
    <n v="7"/>
    <n v="0"/>
    <n v="11802"/>
    <n v="3372"/>
    <d v="2022-09-14T00:00:00"/>
    <x v="0"/>
    <s v="Q3"/>
    <x v="1"/>
    <x v="34"/>
    <s v="Amarilla"/>
    <x v="2"/>
  </r>
  <r>
    <x v="4"/>
    <x v="17"/>
    <s v="PROD_ID_006"/>
    <s v="None"/>
    <n v="2141"/>
    <n v="12"/>
    <n v="0"/>
    <n v="25692"/>
    <n v="19269"/>
    <d v="2021-11-15T00:00:00"/>
    <x v="6"/>
    <s v="Q4"/>
    <x v="1"/>
    <x v="17"/>
    <s v="Amarilla"/>
    <x v="1"/>
  </r>
  <r>
    <x v="3"/>
    <x v="63"/>
    <s v="PROD_ID_006"/>
    <s v="None"/>
    <n v="1143"/>
    <n v="7"/>
    <n v="0"/>
    <n v="8001"/>
    <n v="2286"/>
    <d v="2022-04-23T00:00:00"/>
    <x v="5"/>
    <s v="Q2"/>
    <x v="1"/>
    <x v="62"/>
    <s v="Amarilla"/>
    <x v="7"/>
  </r>
  <r>
    <x v="1"/>
    <x v="45"/>
    <s v="PROD_ID_006"/>
    <s v="None"/>
    <n v="615"/>
    <n v="15"/>
    <n v="0"/>
    <n v="9225"/>
    <n v="3075"/>
    <d v="2021-12-26T00:00:00"/>
    <x v="7"/>
    <s v="Q4"/>
    <x v="1"/>
    <x v="45"/>
    <s v="Amarilla"/>
    <x v="5"/>
  </r>
  <r>
    <x v="3"/>
    <x v="51"/>
    <s v="PROD_ID_002"/>
    <s v="Low"/>
    <n v="3945"/>
    <n v="7"/>
    <n v="276.14999999999998"/>
    <n v="27338.850000000002"/>
    <n v="7613.8500000000022"/>
    <d v="2021-09-23T00:00:00"/>
    <x v="0"/>
    <s v="Q3"/>
    <x v="1"/>
    <x v="51"/>
    <s v="Paseo"/>
    <x v="3"/>
  </r>
  <r>
    <x v="1"/>
    <x v="1"/>
    <s v="PROD_ID_002"/>
    <s v="Low"/>
    <n v="2296"/>
    <n v="15"/>
    <n v="344.4"/>
    <n v="34095.599999999999"/>
    <n v="11135.599999999999"/>
    <d v="2021-12-16T00:00:00"/>
    <x v="7"/>
    <s v="Q4"/>
    <x v="1"/>
    <x v="1"/>
    <s v="Paseo"/>
    <x v="1"/>
  </r>
  <r>
    <x v="3"/>
    <x v="51"/>
    <s v="PROD_ID_002"/>
    <s v="Low"/>
    <n v="1030"/>
    <n v="7"/>
    <n v="72.099999999999994"/>
    <n v="7137.9"/>
    <n v="1987.8999999999996"/>
    <d v="2022-08-12T00:00:00"/>
    <x v="2"/>
    <s v="Q3"/>
    <x v="1"/>
    <x v="51"/>
    <s v="Paseo"/>
    <x v="3"/>
  </r>
  <r>
    <x v="3"/>
    <x v="53"/>
    <s v="PROD_ID_003"/>
    <s v="Low"/>
    <n v="639"/>
    <n v="7"/>
    <n v="44.73"/>
    <n v="4428.2700000000004"/>
    <n v="1233.2700000000004"/>
    <d v="2021-10-31T00:00:00"/>
    <x v="9"/>
    <s v="Q4"/>
    <x v="1"/>
    <x v="53"/>
    <s v="Velo"/>
    <x v="5"/>
  </r>
  <r>
    <x v="3"/>
    <x v="54"/>
    <s v="PROD_ID_004"/>
    <s v="Low"/>
    <n v="1326"/>
    <n v="7"/>
    <n v="92.82"/>
    <n v="9189.18"/>
    <n v="2559.1800000000003"/>
    <d v="2022-03-19T00:00:00"/>
    <x v="8"/>
    <s v="Q1"/>
    <x v="1"/>
    <x v="54"/>
    <s v="VTT"/>
    <x v="6"/>
  </r>
  <r>
    <x v="4"/>
    <x v="83"/>
    <s v="PROD_ID_005"/>
    <s v="Low"/>
    <n v="1858"/>
    <n v="12"/>
    <n v="222.96"/>
    <n v="22073.040000000001"/>
    <n v="16499.04"/>
    <d v="2022-09-07T00:00:00"/>
    <x v="0"/>
    <s v="Q3"/>
    <x v="1"/>
    <x v="79"/>
    <s v="Carretera"/>
    <x v="3"/>
  </r>
  <r>
    <x v="3"/>
    <x v="65"/>
    <s v="PROD_ID_005"/>
    <s v="Low"/>
    <n v="1210"/>
    <n v="350"/>
    <n v="4235"/>
    <n v="419265"/>
    <n v="104665"/>
    <d v="2021-06-27T00:00:00"/>
    <x v="11"/>
    <s v="Q2"/>
    <x v="1"/>
    <x v="64"/>
    <s v="Carretera"/>
    <x v="1"/>
  </r>
  <r>
    <x v="3"/>
    <x v="56"/>
    <s v="PROD_ID_005"/>
    <s v="Low"/>
    <n v="2529"/>
    <n v="7"/>
    <n v="177.03"/>
    <n v="17525.97"/>
    <n v="4880.9699999999993"/>
    <d v="2021-08-20T00:00:00"/>
    <x v="2"/>
    <s v="Q3"/>
    <x v="1"/>
    <x v="56"/>
    <s v="Carretera"/>
    <x v="0"/>
  </r>
  <r>
    <x v="4"/>
    <x v="35"/>
    <s v="PROD_ID_005"/>
    <s v="Low"/>
    <n v="1445"/>
    <n v="12"/>
    <n v="173.4"/>
    <n v="17166.599999999999"/>
    <n v="12831.599999999999"/>
    <d v="2021-08-10T00:00:00"/>
    <x v="2"/>
    <s v="Q3"/>
    <x v="1"/>
    <x v="35"/>
    <s v="Carretera"/>
    <x v="3"/>
  </r>
  <r>
    <x v="4"/>
    <x v="87"/>
    <s v="PROD_ID_005"/>
    <s v="Low"/>
    <n v="2671"/>
    <n v="12"/>
    <n v="320.52"/>
    <n v="31731.48"/>
    <n v="23718.48"/>
    <d v="2022-12-10T00:00:00"/>
    <x v="7"/>
    <s v="Q4"/>
    <x v="1"/>
    <x v="81"/>
    <s v="Carretera"/>
    <x v="7"/>
  </r>
  <r>
    <x v="3"/>
    <x v="65"/>
    <s v="PROD_ID_005"/>
    <s v="Low"/>
    <n v="1397"/>
    <n v="350"/>
    <n v="4889.5"/>
    <n v="484060.5"/>
    <n v="120840.5"/>
    <d v="2021-08-03T00:00:00"/>
    <x v="2"/>
    <s v="Q3"/>
    <x v="1"/>
    <x v="64"/>
    <s v="Carretera"/>
    <x v="1"/>
  </r>
  <r>
    <x v="3"/>
    <x v="20"/>
    <s v="PROD_ID_005"/>
    <s v="Low"/>
    <n v="2155"/>
    <n v="350"/>
    <n v="7542.5"/>
    <n v="746707.5"/>
    <n v="186407.5"/>
    <d v="2021-04-06T00:00:00"/>
    <x v="5"/>
    <s v="Q2"/>
    <x v="1"/>
    <x v="20"/>
    <s v="Carretera"/>
    <x v="4"/>
  </r>
  <r>
    <x v="1"/>
    <x v="111"/>
    <s v="PROD_ID_001"/>
    <s v="Low"/>
    <n v="2214"/>
    <n v="15"/>
    <n v="332.1"/>
    <n v="32877.9"/>
    <n v="10737.900000000001"/>
    <d v="2021-01-15T00:00:00"/>
    <x v="1"/>
    <s v="Q1"/>
    <x v="1"/>
    <x v="81"/>
    <s v="Montana"/>
    <x v="7"/>
  </r>
  <r>
    <x v="2"/>
    <x v="11"/>
    <s v="PROD_ID_001"/>
    <s v="Low"/>
    <n v="2301"/>
    <n v="300"/>
    <n v="6903"/>
    <n v="683397"/>
    <n v="108147"/>
    <d v="2021-11-28T00:00:00"/>
    <x v="6"/>
    <s v="Q4"/>
    <x v="1"/>
    <x v="11"/>
    <s v="Montana"/>
    <x v="3"/>
  </r>
  <r>
    <x v="3"/>
    <x v="58"/>
    <s v="PROD_ID_001"/>
    <s v="Low"/>
    <n v="1375.5"/>
    <n v="20"/>
    <n v="275.10000000000002"/>
    <n v="27234.899999999998"/>
    <n v="13479.899999999998"/>
    <d v="2022-11-21T00:00:00"/>
    <x v="6"/>
    <s v="Q4"/>
    <x v="1"/>
    <x v="58"/>
    <s v="Montana"/>
    <x v="2"/>
  </r>
  <r>
    <x v="3"/>
    <x v="42"/>
    <s v="PROD_ID_001"/>
    <s v="Low"/>
    <n v="1830"/>
    <n v="7"/>
    <n v="128.1"/>
    <n v="12681.9"/>
    <n v="3531.8999999999996"/>
    <d v="2021-08-07T00:00:00"/>
    <x v="2"/>
    <s v="Q3"/>
    <x v="1"/>
    <x v="42"/>
    <s v="Montana"/>
    <x v="2"/>
  </r>
  <r>
    <x v="1"/>
    <x v="25"/>
    <s v="PROD_ID_002"/>
    <s v="Low"/>
    <n v="1514"/>
    <n v="15"/>
    <n v="227.1"/>
    <n v="22482.9"/>
    <n v="7342.9000000000015"/>
    <d v="2022-09-07T00:00:00"/>
    <x v="0"/>
    <s v="Q3"/>
    <x v="1"/>
    <x v="25"/>
    <s v="Paseo"/>
    <x v="1"/>
  </r>
  <r>
    <x v="3"/>
    <x v="26"/>
    <s v="PROD_ID_002"/>
    <s v="Low"/>
    <n v="4492.5"/>
    <n v="7"/>
    <n v="314.47500000000002"/>
    <n v="31133.024999999998"/>
    <n v="8670.5249999999978"/>
    <d v="2021-02-17T00:00:00"/>
    <x v="4"/>
    <s v="Q1"/>
    <x v="1"/>
    <x v="26"/>
    <s v="Paseo"/>
    <x v="2"/>
  </r>
  <r>
    <x v="0"/>
    <x v="114"/>
    <s v="PROD_ID_002"/>
    <s v="Low"/>
    <n v="727"/>
    <n v="125"/>
    <n v="908.75"/>
    <n v="89966.25"/>
    <n v="2726.25"/>
    <d v="2022-03-05T00:00:00"/>
    <x v="8"/>
    <s v="Q1"/>
    <x v="1"/>
    <x v="84"/>
    <s v="Paseo"/>
    <x v="2"/>
  </r>
  <r>
    <x v="0"/>
    <x v="50"/>
    <s v="PROD_ID_002"/>
    <s v="Low"/>
    <n v="787"/>
    <n v="125"/>
    <n v="983.75"/>
    <n v="97391.25"/>
    <n v="2951.25"/>
    <d v="2021-06-24T00:00:00"/>
    <x v="11"/>
    <s v="Q2"/>
    <x v="1"/>
    <x v="50"/>
    <s v="Paseo"/>
    <x v="2"/>
  </r>
  <r>
    <x v="0"/>
    <x v="23"/>
    <s v="PROD_ID_002"/>
    <s v="Low"/>
    <n v="1823"/>
    <n v="125"/>
    <n v="2278.75"/>
    <n v="225596.25"/>
    <n v="6836.25"/>
    <d v="2022-11-30T00:00:00"/>
    <x v="6"/>
    <s v="Q4"/>
    <x v="1"/>
    <x v="23"/>
    <s v="Paseo"/>
    <x v="7"/>
  </r>
  <r>
    <x v="1"/>
    <x v="37"/>
    <s v="PROD_ID_002"/>
    <s v="Low"/>
    <n v="747"/>
    <n v="15"/>
    <n v="112.05"/>
    <n v="11092.95"/>
    <n v="3622.9500000000007"/>
    <d v="2021-06-08T00:00:00"/>
    <x v="11"/>
    <s v="Q2"/>
    <x v="1"/>
    <x v="37"/>
    <s v="Paseo"/>
    <x v="5"/>
  </r>
  <r>
    <x v="2"/>
    <x v="115"/>
    <s v="PROD_ID_002"/>
    <s v="Low"/>
    <n v="2905"/>
    <n v="300"/>
    <n v="8715"/>
    <n v="862785"/>
    <n v="136535"/>
    <d v="2022-01-17T00:00:00"/>
    <x v="1"/>
    <s v="Q1"/>
    <x v="1"/>
    <x v="85"/>
    <s v="Paseo"/>
    <x v="3"/>
  </r>
  <r>
    <x v="3"/>
    <x v="51"/>
    <s v="PROD_ID_002"/>
    <s v="Low"/>
    <n v="2155"/>
    <n v="350"/>
    <n v="7542.5"/>
    <n v="746707.5"/>
    <n v="186407.5"/>
    <d v="2022-08-04T00:00:00"/>
    <x v="2"/>
    <s v="Q3"/>
    <x v="1"/>
    <x v="51"/>
    <s v="Paseo"/>
    <x v="3"/>
  </r>
  <r>
    <x v="3"/>
    <x v="53"/>
    <s v="PROD_ID_003"/>
    <s v="Low"/>
    <n v="3864"/>
    <n v="20"/>
    <n v="772.80000000000007"/>
    <n v="76507.200000000012"/>
    <n v="37867.200000000004"/>
    <d v="2021-10-13T00:00:00"/>
    <x v="9"/>
    <s v="Q4"/>
    <x v="1"/>
    <x v="53"/>
    <s v="Velo"/>
    <x v="5"/>
  </r>
  <r>
    <x v="3"/>
    <x v="30"/>
    <s v="PROD_ID_003"/>
    <s v="Low"/>
    <n v="362"/>
    <n v="7"/>
    <n v="25.34"/>
    <n v="2508.66"/>
    <n v="698.65999999999985"/>
    <d v="2022-11-01T00:00:00"/>
    <x v="6"/>
    <s v="Q4"/>
    <x v="1"/>
    <x v="30"/>
    <s v="Velo"/>
    <x v="6"/>
  </r>
  <r>
    <x v="0"/>
    <x v="6"/>
    <s v="PROD_ID_003"/>
    <s v="Low"/>
    <n v="923"/>
    <n v="125"/>
    <n v="1153.75"/>
    <n v="114221.25"/>
    <n v="3461.25"/>
    <d v="2022-04-04T00:00:00"/>
    <x v="5"/>
    <s v="Q2"/>
    <x v="1"/>
    <x v="6"/>
    <s v="Velo"/>
    <x v="6"/>
  </r>
  <r>
    <x v="3"/>
    <x v="55"/>
    <s v="PROD_ID_004"/>
    <s v="Low"/>
    <n v="263"/>
    <n v="7"/>
    <n v="18.41"/>
    <n v="1822.59"/>
    <n v="507.58999999999992"/>
    <d v="2022-12-22T00:00:00"/>
    <x v="7"/>
    <s v="Q4"/>
    <x v="1"/>
    <x v="55"/>
    <s v="VTT"/>
    <x v="7"/>
  </r>
  <r>
    <x v="3"/>
    <x v="54"/>
    <s v="PROD_ID_004"/>
    <s v="Low"/>
    <n v="943.5"/>
    <n v="350"/>
    <n v="3302.25"/>
    <n v="326922.75"/>
    <n v="81612.75"/>
    <d v="2021-09-21T00:00:00"/>
    <x v="0"/>
    <s v="Q3"/>
    <x v="1"/>
    <x v="54"/>
    <s v="VTT"/>
    <x v="6"/>
  </r>
  <r>
    <x v="0"/>
    <x v="116"/>
    <s v="PROD_ID_004"/>
    <s v="Low"/>
    <n v="727"/>
    <n v="125"/>
    <n v="908.75"/>
    <n v="89966.25"/>
    <n v="2726.25"/>
    <d v="2021-04-30T00:00:00"/>
    <x v="5"/>
    <s v="Q2"/>
    <x v="1"/>
    <x v="56"/>
    <s v="VTT"/>
    <x v="4"/>
  </r>
  <r>
    <x v="0"/>
    <x v="117"/>
    <s v="PROD_ID_004"/>
    <s v="Low"/>
    <n v="787"/>
    <n v="125"/>
    <n v="983.75"/>
    <n v="97391.25"/>
    <n v="2951.25"/>
    <d v="2021-05-27T00:00:00"/>
    <x v="10"/>
    <s v="Q2"/>
    <x v="1"/>
    <x v="86"/>
    <s v="VTT"/>
    <x v="5"/>
  </r>
  <r>
    <x v="2"/>
    <x v="31"/>
    <s v="PROD_ID_004"/>
    <s v="Low"/>
    <n v="986"/>
    <n v="300"/>
    <n v="2958"/>
    <n v="292842"/>
    <n v="46342"/>
    <d v="2022-10-09T00:00:00"/>
    <x v="9"/>
    <s v="Q4"/>
    <x v="1"/>
    <x v="31"/>
    <s v="VTT"/>
    <x v="7"/>
  </r>
  <r>
    <x v="3"/>
    <x v="33"/>
    <s v="PROD_ID_004"/>
    <s v="Low"/>
    <n v="1397"/>
    <n v="350"/>
    <n v="4889.5"/>
    <n v="484060.5"/>
    <n v="120840.5"/>
    <d v="2022-10-09T00:00:00"/>
    <x v="9"/>
    <s v="Q4"/>
    <x v="1"/>
    <x v="33"/>
    <s v="VTT"/>
    <x v="1"/>
  </r>
  <r>
    <x v="0"/>
    <x v="117"/>
    <s v="PROD_ID_004"/>
    <s v="Low"/>
    <n v="1744"/>
    <n v="125"/>
    <n v="2180"/>
    <n v="215820"/>
    <n v="6540"/>
    <d v="2021-09-21T00:00:00"/>
    <x v="0"/>
    <s v="Q3"/>
    <x v="1"/>
    <x v="86"/>
    <s v="VTT"/>
    <x v="5"/>
  </r>
  <r>
    <x v="0"/>
    <x v="93"/>
    <s v="PROD_ID_005"/>
    <s v="Low"/>
    <n v="742.5"/>
    <n v="125"/>
    <n v="1856.25"/>
    <n v="90956.25"/>
    <n v="1856.25"/>
    <d v="2022-05-27T00:00:00"/>
    <x v="10"/>
    <s v="Q2"/>
    <x v="1"/>
    <x v="86"/>
    <s v="Carretera"/>
    <x v="5"/>
  </r>
  <r>
    <x v="4"/>
    <x v="35"/>
    <s v="PROD_ID_005"/>
    <s v="Low"/>
    <n v="1295"/>
    <n v="12"/>
    <n v="310.8"/>
    <n v="15229.2"/>
    <n v="11344.2"/>
    <d v="2021-05-03T00:00:00"/>
    <x v="10"/>
    <s v="Q2"/>
    <x v="1"/>
    <x v="35"/>
    <s v="Carretera"/>
    <x v="3"/>
  </r>
  <r>
    <x v="3"/>
    <x v="41"/>
    <s v="PROD_ID_005"/>
    <s v="Low"/>
    <n v="2852"/>
    <n v="350"/>
    <n v="19964"/>
    <n v="978236"/>
    <n v="236716"/>
    <d v="2021-07-20T00:00:00"/>
    <x v="3"/>
    <s v="Q3"/>
    <x v="1"/>
    <x v="41"/>
    <s v="Carretera"/>
    <x v="1"/>
  </r>
  <r>
    <x v="4"/>
    <x v="118"/>
    <s v="PROD_ID_001"/>
    <s v="Low"/>
    <n v="1142"/>
    <n v="12"/>
    <n v="274.08"/>
    <n v="13429.92"/>
    <n v="10003.92"/>
    <d v="2022-11-10T00:00:00"/>
    <x v="6"/>
    <s v="Q4"/>
    <x v="1"/>
    <x v="87"/>
    <s v="Montana"/>
    <x v="6"/>
  </r>
  <r>
    <x v="3"/>
    <x v="98"/>
    <s v="PROD_ID_001"/>
    <s v="Low"/>
    <n v="1566"/>
    <n v="20"/>
    <n v="626.4"/>
    <n v="30693.599999999999"/>
    <n v="15033.599999999999"/>
    <d v="2021-07-17T00:00:00"/>
    <x v="3"/>
    <s v="Q3"/>
    <x v="1"/>
    <x v="72"/>
    <s v="Montana"/>
    <x v="2"/>
  </r>
  <r>
    <x v="4"/>
    <x v="119"/>
    <s v="PROD_ID_001"/>
    <s v="Low"/>
    <n v="690"/>
    <n v="12"/>
    <n v="165.6"/>
    <n v="8114.4"/>
    <n v="6044.4"/>
    <d v="2022-07-26T00:00:00"/>
    <x v="3"/>
    <s v="Q3"/>
    <x v="1"/>
    <x v="69"/>
    <s v="Montana"/>
    <x v="7"/>
  </r>
  <r>
    <x v="1"/>
    <x v="5"/>
    <s v="PROD_ID_002"/>
    <s v="Low"/>
    <n v="2363"/>
    <n v="15"/>
    <n v="708.9"/>
    <n v="34736.1"/>
    <n v="11106.099999999999"/>
    <d v="2022-10-24T00:00:00"/>
    <x v="9"/>
    <s v="Q4"/>
    <x v="1"/>
    <x v="5"/>
    <s v="Paseo"/>
    <x v="5"/>
  </r>
  <r>
    <x v="2"/>
    <x v="120"/>
    <s v="PROD_ID_002"/>
    <s v="Low"/>
    <n v="918"/>
    <n v="300"/>
    <n v="5508"/>
    <n v="269892"/>
    <n v="40392"/>
    <d v="2021-06-02T00:00:00"/>
    <x v="11"/>
    <s v="Q2"/>
    <x v="1"/>
    <x v="70"/>
    <s v="Paseo"/>
    <x v="0"/>
  </r>
  <r>
    <x v="2"/>
    <x v="68"/>
    <s v="PROD_ID_002"/>
    <s v="Low"/>
    <n v="1728"/>
    <n v="300"/>
    <n v="10368"/>
    <n v="508032"/>
    <n v="76032"/>
    <d v="2021-07-29T00:00:00"/>
    <x v="3"/>
    <s v="Q3"/>
    <x v="1"/>
    <x v="56"/>
    <s v="Paseo"/>
    <x v="4"/>
  </r>
  <r>
    <x v="4"/>
    <x v="4"/>
    <s v="PROD_ID_002"/>
    <s v="Low"/>
    <n v="1142"/>
    <n v="12"/>
    <n v="274.08"/>
    <n v="13429.92"/>
    <n v="10003.92"/>
    <d v="2021-05-20T00:00:00"/>
    <x v="10"/>
    <s v="Q2"/>
    <x v="1"/>
    <x v="4"/>
    <s v="Paseo"/>
    <x v="4"/>
  </r>
  <r>
    <x v="0"/>
    <x v="23"/>
    <s v="PROD_ID_002"/>
    <s v="Low"/>
    <n v="662"/>
    <n v="125"/>
    <n v="1655"/>
    <n v="81095"/>
    <n v="1655"/>
    <d v="2021-05-01T00:00:00"/>
    <x v="10"/>
    <s v="Q2"/>
    <x v="1"/>
    <x v="23"/>
    <s v="Paseo"/>
    <x v="7"/>
  </r>
  <r>
    <x v="4"/>
    <x v="59"/>
    <s v="PROD_ID_002"/>
    <s v="Low"/>
    <n v="1295"/>
    <n v="12"/>
    <n v="310.8"/>
    <n v="15229.2"/>
    <n v="11344.2"/>
    <d v="2021-02-23T00:00:00"/>
    <x v="4"/>
    <s v="Q1"/>
    <x v="1"/>
    <x v="41"/>
    <s v="Paseo"/>
    <x v="3"/>
  </r>
  <r>
    <x v="2"/>
    <x v="69"/>
    <s v="PROD_ID_002"/>
    <s v="Low"/>
    <n v="1916"/>
    <n v="300"/>
    <n v="11496"/>
    <n v="563304"/>
    <n v="84304"/>
    <d v="2021-12-16T00:00:00"/>
    <x v="7"/>
    <s v="Q4"/>
    <x v="1"/>
    <x v="67"/>
    <s v="Paseo"/>
    <x v="5"/>
  </r>
  <r>
    <x v="3"/>
    <x v="3"/>
    <s v="PROD_ID_002"/>
    <s v="Low"/>
    <n v="2852"/>
    <n v="350"/>
    <n v="19964"/>
    <n v="978236"/>
    <n v="236716"/>
    <d v="2021-04-19T00:00:00"/>
    <x v="5"/>
    <s v="Q2"/>
    <x v="1"/>
    <x v="3"/>
    <s v="Paseo"/>
    <x v="3"/>
  </r>
  <r>
    <x v="0"/>
    <x v="121"/>
    <s v="PROD_ID_002"/>
    <s v="Low"/>
    <n v="2729"/>
    <n v="125"/>
    <n v="6822.5"/>
    <n v="334302.5"/>
    <n v="6822.5"/>
    <d v="2021-12-04T00:00:00"/>
    <x v="7"/>
    <s v="Q4"/>
    <x v="1"/>
    <x v="71"/>
    <s v="Paseo"/>
    <x v="1"/>
  </r>
  <r>
    <x v="4"/>
    <x v="24"/>
    <s v="PROD_ID_002"/>
    <s v="Low"/>
    <n v="1055"/>
    <n v="12"/>
    <n v="253.2"/>
    <n v="12406.8"/>
    <n v="9241.7999999999993"/>
    <d v="2021-02-06T00:00:00"/>
    <x v="4"/>
    <s v="Q1"/>
    <x v="1"/>
    <x v="24"/>
    <s v="Paseo"/>
    <x v="0"/>
  </r>
  <r>
    <x v="4"/>
    <x v="70"/>
    <s v="PROD_ID_002"/>
    <s v="Low"/>
    <n v="1084"/>
    <n v="12"/>
    <n v="260.16000000000003"/>
    <n v="12747.84"/>
    <n v="9495.84"/>
    <d v="2022-04-19T00:00:00"/>
    <x v="5"/>
    <s v="Q2"/>
    <x v="1"/>
    <x v="68"/>
    <s v="Paseo"/>
    <x v="6"/>
  </r>
  <r>
    <x v="3"/>
    <x v="40"/>
    <s v="PROD_ID_003"/>
    <s v="Low"/>
    <n v="1566"/>
    <n v="20"/>
    <n v="626.4"/>
    <n v="30693.599999999999"/>
    <n v="15033.599999999999"/>
    <d v="2022-08-28T00:00:00"/>
    <x v="2"/>
    <s v="Q3"/>
    <x v="1"/>
    <x v="40"/>
    <s v="Velo"/>
    <x v="0"/>
  </r>
  <r>
    <x v="3"/>
    <x v="27"/>
    <s v="PROD_ID_003"/>
    <s v="Low"/>
    <n v="2877"/>
    <n v="350"/>
    <n v="20139"/>
    <n v="986811"/>
    <n v="238791"/>
    <d v="2022-09-17T00:00:00"/>
    <x v="0"/>
    <s v="Q3"/>
    <x v="1"/>
    <x v="27"/>
    <s v="Velo"/>
    <x v="3"/>
  </r>
  <r>
    <x v="4"/>
    <x v="122"/>
    <s v="PROD_ID_003"/>
    <s v="Low"/>
    <n v="1055"/>
    <n v="12"/>
    <n v="253.2"/>
    <n v="12406.8"/>
    <n v="9241.7999999999993"/>
    <d v="2021-12-14T00:00:00"/>
    <x v="7"/>
    <s v="Q4"/>
    <x v="1"/>
    <x v="72"/>
    <s v="Velo"/>
    <x v="2"/>
  </r>
  <r>
    <x v="4"/>
    <x v="123"/>
    <s v="PROD_ID_003"/>
    <s v="Low"/>
    <n v="1084"/>
    <n v="12"/>
    <n v="260.16000000000003"/>
    <n v="12747.84"/>
    <n v="9495.84"/>
    <d v="2022-04-09T00:00:00"/>
    <x v="5"/>
    <s v="Q2"/>
    <x v="1"/>
    <x v="73"/>
    <s v="Velo"/>
    <x v="3"/>
  </r>
  <r>
    <x v="0"/>
    <x v="124"/>
    <s v="PROD_ID_004"/>
    <s v="Low"/>
    <n v="662"/>
    <n v="125"/>
    <n v="1655"/>
    <n v="81095"/>
    <n v="1655"/>
    <d v="2022-12-06T00:00:00"/>
    <x v="7"/>
    <s v="Q4"/>
    <x v="1"/>
    <x v="52"/>
    <s v="VTT"/>
    <x v="4"/>
  </r>
  <r>
    <x v="3"/>
    <x v="55"/>
    <s v="PROD_ID_004"/>
    <s v="Low"/>
    <n v="2877"/>
    <n v="350"/>
    <n v="20139"/>
    <n v="986811"/>
    <n v="238791"/>
    <d v="2022-11-16T00:00:00"/>
    <x v="6"/>
    <s v="Q4"/>
    <x v="1"/>
    <x v="55"/>
    <s v="VTT"/>
    <x v="7"/>
  </r>
  <r>
    <x v="0"/>
    <x v="104"/>
    <s v="PROD_ID_004"/>
    <s v="Low"/>
    <n v="2729"/>
    <n v="125"/>
    <n v="6822.5"/>
    <n v="334302.5"/>
    <n v="6822.5"/>
    <d v="2022-12-13T00:00:00"/>
    <x v="7"/>
    <s v="Q4"/>
    <x v="1"/>
    <x v="38"/>
    <s v="VTT"/>
    <x v="0"/>
  </r>
  <r>
    <x v="2"/>
    <x v="125"/>
    <s v="PROD_ID_006"/>
    <s v="Low"/>
    <n v="259"/>
    <n v="300"/>
    <n v="1554"/>
    <n v="76146"/>
    <n v="11396"/>
    <d v="2022-02-26T00:00:00"/>
    <x v="4"/>
    <s v="Q1"/>
    <x v="1"/>
    <x v="90"/>
    <s v="Amarilla"/>
    <x v="5"/>
  </r>
  <r>
    <x v="2"/>
    <x v="126"/>
    <s v="PROD_ID_006"/>
    <s v="Low"/>
    <n v="1101"/>
    <n v="300"/>
    <n v="6606"/>
    <n v="323694"/>
    <n v="48444"/>
    <d v="2022-09-25T00:00:00"/>
    <x v="0"/>
    <s v="Q3"/>
    <x v="1"/>
    <x v="91"/>
    <s v="Amarilla"/>
    <x v="6"/>
  </r>
  <r>
    <x v="0"/>
    <x v="72"/>
    <s v="PROD_ID_006"/>
    <s v="Low"/>
    <n v="2276"/>
    <n v="125"/>
    <n v="5690"/>
    <n v="278810"/>
    <n v="5690"/>
    <d v="2022-09-23T00:00:00"/>
    <x v="0"/>
    <s v="Q3"/>
    <x v="1"/>
    <x v="70"/>
    <s v="Amarilla"/>
    <x v="0"/>
  </r>
  <r>
    <x v="3"/>
    <x v="63"/>
    <s v="PROD_ID_006"/>
    <s v="Low"/>
    <n v="1236"/>
    <n v="20"/>
    <n v="494.4"/>
    <n v="24225.599999999999"/>
    <n v="11865.599999999999"/>
    <d v="2021-02-03T00:00:00"/>
    <x v="4"/>
    <s v="Q1"/>
    <x v="1"/>
    <x v="62"/>
    <s v="Amarilla"/>
    <x v="7"/>
  </r>
  <r>
    <x v="3"/>
    <x v="64"/>
    <s v="PROD_ID_006"/>
    <s v="Low"/>
    <n v="941"/>
    <n v="20"/>
    <n v="376.4"/>
    <n v="18443.599999999999"/>
    <n v="9033.5999999999985"/>
    <d v="2022-11-19T00:00:00"/>
    <x v="6"/>
    <s v="Q4"/>
    <x v="1"/>
    <x v="63"/>
    <s v="Amarilla"/>
    <x v="0"/>
  </r>
  <r>
    <x v="2"/>
    <x v="127"/>
    <s v="PROD_ID_006"/>
    <s v="Low"/>
    <n v="1916"/>
    <n v="300"/>
    <n v="11496"/>
    <n v="563304"/>
    <n v="84304"/>
    <d v="2022-05-30T00:00:00"/>
    <x v="10"/>
    <s v="Q2"/>
    <x v="1"/>
    <x v="92"/>
    <s v="Amarilla"/>
    <x v="7"/>
  </r>
  <r>
    <x v="0"/>
    <x v="84"/>
    <s v="PROD_ID_005"/>
    <s v="Low"/>
    <n v="4243.5"/>
    <n v="125"/>
    <n v="15913.125"/>
    <n v="514524.375"/>
    <n v="5304.375"/>
    <d v="2021-04-28T00:00:00"/>
    <x v="5"/>
    <s v="Q2"/>
    <x v="1"/>
    <x v="80"/>
    <s v="Carretera"/>
    <x v="4"/>
  </r>
  <r>
    <x v="3"/>
    <x v="47"/>
    <s v="PROD_ID_005"/>
    <s v="Low"/>
    <n v="2580"/>
    <n v="20"/>
    <n v="1548"/>
    <n v="50052"/>
    <n v="24252"/>
    <d v="2022-04-09T00:00:00"/>
    <x v="5"/>
    <s v="Q2"/>
    <x v="1"/>
    <x v="47"/>
    <s v="Carretera"/>
    <x v="7"/>
  </r>
  <r>
    <x v="2"/>
    <x v="19"/>
    <s v="PROD_ID_005"/>
    <s v="Low"/>
    <n v="689"/>
    <n v="300"/>
    <n v="6201"/>
    <n v="200499"/>
    <n v="28249"/>
    <d v="2022-10-23T00:00:00"/>
    <x v="9"/>
    <s v="Q4"/>
    <x v="1"/>
    <x v="19"/>
    <s v="Carretera"/>
    <x v="3"/>
  </r>
  <r>
    <x v="4"/>
    <x v="83"/>
    <s v="PROD_ID_005"/>
    <s v="Low"/>
    <n v="1947"/>
    <n v="12"/>
    <n v="700.92"/>
    <n v="22663.08"/>
    <n v="16822.080000000002"/>
    <d v="2022-04-23T00:00:00"/>
    <x v="5"/>
    <s v="Q2"/>
    <x v="1"/>
    <x v="79"/>
    <s v="Carretera"/>
    <x v="3"/>
  </r>
  <r>
    <x v="3"/>
    <x v="36"/>
    <s v="PROD_ID_001"/>
    <s v="Low"/>
    <n v="1958"/>
    <n v="7"/>
    <n v="411.18"/>
    <n v="13294.82"/>
    <n v="3504.8199999999997"/>
    <d v="2022-05-26T00:00:00"/>
    <x v="10"/>
    <s v="Q2"/>
    <x v="1"/>
    <x v="36"/>
    <s v="Montana"/>
    <x v="4"/>
  </r>
  <r>
    <x v="4"/>
    <x v="128"/>
    <s v="PROD_ID_001"/>
    <s v="Low"/>
    <n v="1901"/>
    <n v="12"/>
    <n v="684.36"/>
    <n v="22127.64"/>
    <n v="16424.64"/>
    <d v="2022-03-13T00:00:00"/>
    <x v="8"/>
    <s v="Q1"/>
    <x v="1"/>
    <x v="38"/>
    <s v="Montana"/>
    <x v="0"/>
  </r>
  <r>
    <x v="3"/>
    <x v="58"/>
    <s v="PROD_ID_001"/>
    <s v="Low"/>
    <n v="544"/>
    <n v="7"/>
    <n v="114.24"/>
    <n v="3693.76"/>
    <n v="973.76000000000022"/>
    <d v="2021-07-23T00:00:00"/>
    <x v="3"/>
    <s v="Q3"/>
    <x v="1"/>
    <x v="58"/>
    <s v="Montana"/>
    <x v="2"/>
  </r>
  <r>
    <x v="0"/>
    <x v="78"/>
    <s v="PROD_ID_001"/>
    <s v="Low"/>
    <n v="1287"/>
    <n v="125"/>
    <n v="4826.25"/>
    <n v="156048.75"/>
    <n v="1608.75"/>
    <d v="2021-09-27T00:00:00"/>
    <x v="0"/>
    <s v="Q3"/>
    <x v="1"/>
    <x v="54"/>
    <s v="Montana"/>
    <x v="6"/>
  </r>
  <r>
    <x v="0"/>
    <x v="67"/>
    <s v="PROD_ID_001"/>
    <s v="Low"/>
    <n v="1706"/>
    <n v="125"/>
    <n v="6397.5"/>
    <n v="206852.5"/>
    <n v="2132.5"/>
    <d v="2021-05-15T00:00:00"/>
    <x v="10"/>
    <s v="Q2"/>
    <x v="1"/>
    <x v="66"/>
    <s v="Montana"/>
    <x v="3"/>
  </r>
  <r>
    <x v="2"/>
    <x v="120"/>
    <s v="PROD_ID_002"/>
    <s v="Low"/>
    <n v="2434.5"/>
    <n v="300"/>
    <n v="21910.5"/>
    <n v="708439.5"/>
    <n v="99814.5"/>
    <d v="2022-05-25T00:00:00"/>
    <x v="10"/>
    <s v="Q2"/>
    <x v="1"/>
    <x v="70"/>
    <s v="Paseo"/>
    <x v="0"/>
  </r>
  <r>
    <x v="0"/>
    <x v="121"/>
    <s v="PROD_ID_002"/>
    <s v="Low"/>
    <n v="1774"/>
    <n v="125"/>
    <n v="6652.5"/>
    <n v="215097.5"/>
    <n v="2217.5"/>
    <d v="2022-10-03T00:00:00"/>
    <x v="9"/>
    <s v="Q4"/>
    <x v="1"/>
    <x v="71"/>
    <s v="Paseo"/>
    <x v="1"/>
  </r>
  <r>
    <x v="4"/>
    <x v="24"/>
    <s v="PROD_ID_002"/>
    <s v="Low"/>
    <n v="1901"/>
    <n v="12"/>
    <n v="684.36"/>
    <n v="22127.64"/>
    <n v="16424.64"/>
    <d v="2021-01-14T00:00:00"/>
    <x v="1"/>
    <s v="Q1"/>
    <x v="1"/>
    <x v="24"/>
    <s v="Paseo"/>
    <x v="0"/>
  </r>
  <r>
    <x v="2"/>
    <x v="68"/>
    <s v="PROD_ID_002"/>
    <s v="Low"/>
    <n v="689"/>
    <n v="300"/>
    <n v="6201"/>
    <n v="200499"/>
    <n v="28249"/>
    <d v="2021-12-14T00:00:00"/>
    <x v="7"/>
    <s v="Q4"/>
    <x v="1"/>
    <x v="56"/>
    <s v="Paseo"/>
    <x v="4"/>
  </r>
  <r>
    <x v="0"/>
    <x v="22"/>
    <s v="PROD_ID_002"/>
    <s v="Low"/>
    <n v="1570"/>
    <n v="125"/>
    <n v="5887.5"/>
    <n v="190362.5"/>
    <n v="1962.5"/>
    <d v="2022-06-14T00:00:00"/>
    <x v="11"/>
    <s v="Q2"/>
    <x v="1"/>
    <x v="22"/>
    <s v="Paseo"/>
    <x v="6"/>
  </r>
  <r>
    <x v="4"/>
    <x v="4"/>
    <s v="PROD_ID_002"/>
    <s v="Low"/>
    <n v="1369.5"/>
    <n v="12"/>
    <n v="493.02"/>
    <n v="15940.98"/>
    <n v="11832.48"/>
    <d v="2021-06-06T00:00:00"/>
    <x v="11"/>
    <s v="Q2"/>
    <x v="1"/>
    <x v="4"/>
    <s v="Paseo"/>
    <x v="4"/>
  </r>
  <r>
    <x v="0"/>
    <x v="121"/>
    <s v="PROD_ID_002"/>
    <s v="Low"/>
    <n v="2009"/>
    <n v="125"/>
    <n v="7533.75"/>
    <n v="243591.25"/>
    <n v="2511.25"/>
    <d v="2021-01-07T00:00:00"/>
    <x v="1"/>
    <s v="Q1"/>
    <x v="1"/>
    <x v="71"/>
    <s v="Paseo"/>
    <x v="1"/>
  </r>
  <r>
    <x v="0"/>
    <x v="50"/>
    <s v="PROD_ID_002"/>
    <s v="Low"/>
    <n v="1287"/>
    <n v="125"/>
    <n v="4826.25"/>
    <n v="156048.75"/>
    <n v="1608.75"/>
    <d v="2021-05-31T00:00:00"/>
    <x v="10"/>
    <s v="Q2"/>
    <x v="1"/>
    <x v="50"/>
    <s v="Paseo"/>
    <x v="2"/>
  </r>
  <r>
    <x v="0"/>
    <x v="22"/>
    <s v="PROD_ID_002"/>
    <s v="Low"/>
    <n v="1706"/>
    <n v="125"/>
    <n v="6397.5"/>
    <n v="206852.5"/>
    <n v="2132.5"/>
    <d v="2022-07-17T00:00:00"/>
    <x v="3"/>
    <s v="Q3"/>
    <x v="1"/>
    <x v="22"/>
    <s v="Paseo"/>
    <x v="6"/>
  </r>
  <r>
    <x v="0"/>
    <x v="6"/>
    <s v="PROD_ID_003"/>
    <s v="Low"/>
    <n v="2009"/>
    <n v="125"/>
    <n v="7533.75"/>
    <n v="243591.25"/>
    <n v="2511.25"/>
    <d v="2022-02-11T00:00:00"/>
    <x v="4"/>
    <s v="Q1"/>
    <x v="1"/>
    <x v="6"/>
    <s v="Velo"/>
    <x v="6"/>
  </r>
  <r>
    <x v="2"/>
    <x v="74"/>
    <s v="PROD_ID_004"/>
    <s v="Low"/>
    <n v="2844"/>
    <n v="300"/>
    <n v="25596"/>
    <n v="827604"/>
    <n v="116604"/>
    <d v="2022-04-24T00:00:00"/>
    <x v="5"/>
    <s v="Q2"/>
    <x v="1"/>
    <x v="72"/>
    <s v="VTT"/>
    <x v="2"/>
  </r>
  <r>
    <x v="4"/>
    <x v="88"/>
    <s v="PROD_ID_004"/>
    <s v="Low"/>
    <n v="1916"/>
    <n v="12"/>
    <n v="689.76"/>
    <n v="22302.240000000002"/>
    <n v="16554.240000000002"/>
    <d v="2021-09-23T00:00:00"/>
    <x v="0"/>
    <s v="Q3"/>
    <x v="1"/>
    <x v="82"/>
    <s v="VTT"/>
    <x v="0"/>
  </r>
  <r>
    <x v="0"/>
    <x v="129"/>
    <s v="PROD_ID_004"/>
    <s v="Low"/>
    <n v="1570"/>
    <n v="125"/>
    <n v="5887.5"/>
    <n v="190362.5"/>
    <n v="1962.5"/>
    <d v="2021-03-08T00:00:00"/>
    <x v="8"/>
    <s v="Q1"/>
    <x v="1"/>
    <x v="57"/>
    <s v="VTT"/>
    <x v="1"/>
  </r>
  <r>
    <x v="2"/>
    <x v="62"/>
    <s v="PROD_ID_004"/>
    <s v="Low"/>
    <n v="1874"/>
    <n v="300"/>
    <n v="16866"/>
    <n v="545334"/>
    <n v="76834"/>
    <d v="2021-04-11T00:00:00"/>
    <x v="5"/>
    <s v="Q2"/>
    <x v="1"/>
    <x v="61"/>
    <s v="VTT"/>
    <x v="6"/>
  </r>
  <r>
    <x v="3"/>
    <x v="33"/>
    <s v="PROD_ID_004"/>
    <s v="Low"/>
    <n v="1642"/>
    <n v="350"/>
    <n v="17241"/>
    <n v="557459"/>
    <n v="130539"/>
    <d v="2021-12-21T00:00:00"/>
    <x v="7"/>
    <s v="Q4"/>
    <x v="1"/>
    <x v="33"/>
    <s v="VTT"/>
    <x v="1"/>
  </r>
  <r>
    <x v="3"/>
    <x v="41"/>
    <s v="PROD_ID_005"/>
    <s v="Low"/>
    <n v="831"/>
    <n v="20"/>
    <n v="498.6"/>
    <n v="16121.4"/>
    <n v="7811.4"/>
    <d v="2021-12-20T00:00:00"/>
    <x v="7"/>
    <s v="Q4"/>
    <x v="1"/>
    <x v="41"/>
    <s v="Carretera"/>
    <x v="1"/>
  </r>
  <r>
    <x v="3"/>
    <x v="15"/>
    <s v="PROD_ID_003"/>
    <s v="Low"/>
    <n v="3850.5"/>
    <n v="20"/>
    <n v="2310.3000000000002"/>
    <n v="74699.700000000012"/>
    <n v="36194.700000000004"/>
    <d v="2021-12-02T00:00:00"/>
    <x v="7"/>
    <s v="Q4"/>
    <x v="1"/>
    <x v="15"/>
    <s v="Velo"/>
    <x v="7"/>
  </r>
  <r>
    <x v="4"/>
    <x v="66"/>
    <s v="PROD_ID_004"/>
    <s v="Low"/>
    <n v="2479"/>
    <n v="12"/>
    <n v="892.44"/>
    <n v="28855.56"/>
    <n v="21418.560000000001"/>
    <d v="2022-12-14T00:00:00"/>
    <x v="7"/>
    <s v="Q4"/>
    <x v="1"/>
    <x v="65"/>
    <s v="VTT"/>
    <x v="2"/>
  </r>
  <r>
    <x v="1"/>
    <x v="111"/>
    <s v="PROD_ID_001"/>
    <s v="Low"/>
    <n v="2031"/>
    <n v="15"/>
    <n v="1218.5999999999999"/>
    <n v="29246.400000000001"/>
    <n v="8936.4000000000015"/>
    <d v="2022-04-21T00:00:00"/>
    <x v="5"/>
    <s v="Q2"/>
    <x v="1"/>
    <x v="81"/>
    <s v="Montana"/>
    <x v="7"/>
  </r>
  <r>
    <x v="1"/>
    <x v="43"/>
    <s v="PROD_ID_002"/>
    <s v="Low"/>
    <n v="2031"/>
    <n v="15"/>
    <n v="1218.5999999999999"/>
    <n v="29246.400000000001"/>
    <n v="8936.4000000000015"/>
    <d v="2022-12-23T00:00:00"/>
    <x v="7"/>
    <s v="Q4"/>
    <x v="1"/>
    <x v="43"/>
    <s v="Paseo"/>
    <x v="3"/>
  </r>
  <r>
    <x v="2"/>
    <x v="19"/>
    <s v="PROD_ID_005"/>
    <s v="Low"/>
    <n v="2021"/>
    <n v="300"/>
    <n v="24252"/>
    <n v="582048"/>
    <n v="76798"/>
    <d v="2021-09-06T00:00:00"/>
    <x v="0"/>
    <s v="Q3"/>
    <x v="1"/>
    <x v="19"/>
    <s v="Carretera"/>
    <x v="3"/>
  </r>
  <r>
    <x v="3"/>
    <x v="56"/>
    <s v="PROD_ID_005"/>
    <s v="Low"/>
    <n v="274"/>
    <n v="350"/>
    <n v="3836"/>
    <n v="92064"/>
    <n v="20824"/>
    <d v="2022-06-09T00:00:00"/>
    <x v="11"/>
    <s v="Q2"/>
    <x v="1"/>
    <x v="56"/>
    <s v="Carretera"/>
    <x v="0"/>
  </r>
  <r>
    <x v="1"/>
    <x v="130"/>
    <s v="PROD_ID_001"/>
    <s v="Low"/>
    <n v="1967"/>
    <n v="15"/>
    <n v="1180.2"/>
    <n v="28324.799999999999"/>
    <n v="8654.7999999999993"/>
    <d v="2022-11-28T00:00:00"/>
    <x v="6"/>
    <s v="Q4"/>
    <x v="1"/>
    <x v="93"/>
    <s v="Montana"/>
    <x v="2"/>
  </r>
  <r>
    <x v="2"/>
    <x v="79"/>
    <s v="PROD_ID_001"/>
    <s v="Low"/>
    <n v="1859"/>
    <n v="300"/>
    <n v="22308"/>
    <n v="535392"/>
    <n v="70642"/>
    <d v="2022-05-20T00:00:00"/>
    <x v="10"/>
    <s v="Q2"/>
    <x v="1"/>
    <x v="66"/>
    <s v="Montana"/>
    <x v="7"/>
  </r>
  <r>
    <x v="2"/>
    <x v="79"/>
    <s v="PROD_ID_001"/>
    <s v="Low"/>
    <n v="2021"/>
    <n v="300"/>
    <n v="24252"/>
    <n v="582048"/>
    <n v="76798"/>
    <d v="2022-06-06T00:00:00"/>
    <x v="11"/>
    <s v="Q2"/>
    <x v="1"/>
    <x v="66"/>
    <s v="Montana"/>
    <x v="7"/>
  </r>
  <r>
    <x v="0"/>
    <x v="21"/>
    <s v="PROD_ID_001"/>
    <s v="Low"/>
    <n v="1138"/>
    <n v="125"/>
    <n v="5690"/>
    <n v="136560"/>
    <n v="0"/>
    <d v="2022-11-04T00:00:00"/>
    <x v="6"/>
    <s v="Q4"/>
    <x v="1"/>
    <x v="21"/>
    <s v="Montana"/>
    <x v="5"/>
  </r>
  <r>
    <x v="3"/>
    <x v="3"/>
    <s v="PROD_ID_002"/>
    <s v="Low"/>
    <n v="4251"/>
    <n v="7"/>
    <n v="1190.28"/>
    <n v="28566.720000000001"/>
    <n v="7311.7199999999993"/>
    <d v="2021-05-05T00:00:00"/>
    <x v="10"/>
    <s v="Q2"/>
    <x v="1"/>
    <x v="3"/>
    <s v="Paseo"/>
    <x v="3"/>
  </r>
  <r>
    <x v="0"/>
    <x v="22"/>
    <s v="PROD_ID_002"/>
    <s v="Low"/>
    <n v="795"/>
    <n v="125"/>
    <n v="3975"/>
    <n v="95400"/>
    <n v="0"/>
    <d v="2022-11-09T00:00:00"/>
    <x v="6"/>
    <s v="Q4"/>
    <x v="1"/>
    <x v="22"/>
    <s v="Paseo"/>
    <x v="6"/>
  </r>
  <r>
    <x v="2"/>
    <x v="68"/>
    <s v="PROD_ID_002"/>
    <s v="Low"/>
    <n v="1414.5"/>
    <n v="300"/>
    <n v="16974"/>
    <n v="407376"/>
    <n v="53751"/>
    <d v="2021-02-24T00:00:00"/>
    <x v="4"/>
    <s v="Q1"/>
    <x v="1"/>
    <x v="56"/>
    <s v="Paseo"/>
    <x v="4"/>
  </r>
  <r>
    <x v="2"/>
    <x v="115"/>
    <s v="PROD_ID_002"/>
    <s v="Low"/>
    <n v="2918"/>
    <n v="300"/>
    <n v="35016"/>
    <n v="840384"/>
    <n v="110884"/>
    <d v="2021-08-31T00:00:00"/>
    <x v="2"/>
    <s v="Q3"/>
    <x v="1"/>
    <x v="85"/>
    <s v="Paseo"/>
    <x v="3"/>
  </r>
  <r>
    <x v="3"/>
    <x v="26"/>
    <s v="PROD_ID_002"/>
    <s v="Low"/>
    <n v="3450"/>
    <n v="350"/>
    <n v="48300"/>
    <n v="1159200"/>
    <n v="262200"/>
    <d v="2022-07-27T00:00:00"/>
    <x v="3"/>
    <s v="Q3"/>
    <x v="1"/>
    <x v="26"/>
    <s v="Paseo"/>
    <x v="2"/>
  </r>
  <r>
    <x v="0"/>
    <x v="50"/>
    <s v="PROD_ID_002"/>
    <s v="Low"/>
    <n v="2988"/>
    <n v="125"/>
    <n v="14940"/>
    <n v="358560"/>
    <n v="0"/>
    <d v="2022-01-29T00:00:00"/>
    <x v="1"/>
    <s v="Q1"/>
    <x v="1"/>
    <x v="50"/>
    <s v="Paseo"/>
    <x v="2"/>
  </r>
  <r>
    <x v="1"/>
    <x v="5"/>
    <s v="PROD_ID_002"/>
    <s v="Low"/>
    <n v="218"/>
    <n v="15"/>
    <n v="130.80000000000001"/>
    <n v="3139.2"/>
    <n v="959.19999999999982"/>
    <d v="2022-04-05T00:00:00"/>
    <x v="5"/>
    <s v="Q2"/>
    <x v="1"/>
    <x v="5"/>
    <s v="Paseo"/>
    <x v="5"/>
  </r>
  <r>
    <x v="3"/>
    <x v="3"/>
    <s v="PROD_ID_002"/>
    <s v="Low"/>
    <n v="2074"/>
    <n v="20"/>
    <n v="1659.2"/>
    <n v="39820.800000000003"/>
    <n v="19080.800000000003"/>
    <d v="2022-12-30T00:00:00"/>
    <x v="7"/>
    <s v="Q4"/>
    <x v="1"/>
    <x v="3"/>
    <s v="Paseo"/>
    <x v="3"/>
  </r>
  <r>
    <x v="3"/>
    <x v="26"/>
    <s v="PROD_ID_002"/>
    <s v="Low"/>
    <n v="1056"/>
    <n v="20"/>
    <n v="844.8"/>
    <n v="20275.2"/>
    <n v="9715.2000000000007"/>
    <d v="2022-03-16T00:00:00"/>
    <x v="8"/>
    <s v="Q1"/>
    <x v="1"/>
    <x v="26"/>
    <s v="Paseo"/>
    <x v="2"/>
  </r>
  <r>
    <x v="3"/>
    <x v="26"/>
    <s v="PROD_ID_002"/>
    <s v="Low"/>
    <n v="274"/>
    <n v="350"/>
    <n v="3836"/>
    <n v="92064"/>
    <n v="20824"/>
    <d v="2021-11-16T00:00:00"/>
    <x v="6"/>
    <s v="Q4"/>
    <x v="1"/>
    <x v="26"/>
    <s v="Paseo"/>
    <x v="2"/>
  </r>
  <r>
    <x v="0"/>
    <x v="23"/>
    <s v="PROD_ID_002"/>
    <s v="Low"/>
    <n v="1138"/>
    <n v="125"/>
    <n v="5690"/>
    <n v="136560"/>
    <n v="0"/>
    <d v="2021-02-19T00:00:00"/>
    <x v="4"/>
    <s v="Q1"/>
    <x v="1"/>
    <x v="23"/>
    <s v="Paseo"/>
    <x v="7"/>
  </r>
  <r>
    <x v="4"/>
    <x v="131"/>
    <s v="PROD_ID_003"/>
    <s v="Low"/>
    <n v="1465"/>
    <n v="12"/>
    <n v="703.2"/>
    <n v="16876.8"/>
    <n v="12481.8"/>
    <d v="2022-12-26T00:00:00"/>
    <x v="7"/>
    <s v="Q4"/>
    <x v="1"/>
    <x v="79"/>
    <s v="Velo"/>
    <x v="3"/>
  </r>
  <r>
    <x v="3"/>
    <x v="53"/>
    <s v="PROD_ID_003"/>
    <s v="Low"/>
    <n v="2177"/>
    <n v="350"/>
    <n v="30478"/>
    <n v="731472"/>
    <n v="165452"/>
    <d v="2022-05-18T00:00:00"/>
    <x v="10"/>
    <s v="Q2"/>
    <x v="1"/>
    <x v="53"/>
    <s v="Velo"/>
    <x v="5"/>
  </r>
  <r>
    <x v="4"/>
    <x v="80"/>
    <s v="PROD_ID_004"/>
    <s v="Low"/>
    <n v="866"/>
    <n v="12"/>
    <n v="415.68"/>
    <n v="9976.32"/>
    <n v="7378.32"/>
    <d v="2021-06-30T00:00:00"/>
    <x v="11"/>
    <s v="Q2"/>
    <x v="1"/>
    <x v="76"/>
    <s v="VTT"/>
    <x v="0"/>
  </r>
  <r>
    <x v="3"/>
    <x v="7"/>
    <s v="PROD_ID_004"/>
    <s v="Low"/>
    <n v="2177"/>
    <n v="350"/>
    <n v="30478"/>
    <n v="731472"/>
    <n v="165452"/>
    <d v="2021-03-02T00:00:00"/>
    <x v="8"/>
    <s v="Q1"/>
    <x v="1"/>
    <x v="7"/>
    <s v="VTT"/>
    <x v="7"/>
  </r>
  <r>
    <x v="3"/>
    <x v="92"/>
    <s v="PROD_ID_006"/>
    <s v="Low"/>
    <n v="1865"/>
    <n v="350"/>
    <n v="26110"/>
    <n v="626640"/>
    <n v="141740"/>
    <d v="2021-01-10T00:00:00"/>
    <x v="1"/>
    <s v="Q1"/>
    <x v="1"/>
    <x v="56"/>
    <s v="Amarilla"/>
    <x v="4"/>
  </r>
  <r>
    <x v="0"/>
    <x v="91"/>
    <s v="PROD_ID_006"/>
    <s v="Low"/>
    <n v="1074"/>
    <n v="125"/>
    <n v="5370"/>
    <n v="128880"/>
    <n v="0"/>
    <d v="2022-05-13T00:00:00"/>
    <x v="10"/>
    <s v="Q2"/>
    <x v="1"/>
    <x v="85"/>
    <s v="Amarilla"/>
    <x v="3"/>
  </r>
  <r>
    <x v="3"/>
    <x v="34"/>
    <s v="PROD_ID_006"/>
    <s v="Low"/>
    <n v="1907"/>
    <n v="350"/>
    <n v="26698"/>
    <n v="640752"/>
    <n v="144932"/>
    <d v="2021-12-10T00:00:00"/>
    <x v="7"/>
    <s v="Q4"/>
    <x v="1"/>
    <x v="34"/>
    <s v="Amarilla"/>
    <x v="2"/>
  </r>
  <r>
    <x v="3"/>
    <x v="71"/>
    <s v="PROD_ID_002"/>
    <s v="Medium"/>
    <n v="1372"/>
    <n v="7"/>
    <n v="480.2"/>
    <n v="9123.7999999999993"/>
    <n v="2263.7999999999993"/>
    <d v="2022-04-07T00:00:00"/>
    <x v="5"/>
    <s v="Q2"/>
    <x v="1"/>
    <x v="69"/>
    <s v="Paseo"/>
    <x v="7"/>
  </r>
  <r>
    <x v="3"/>
    <x v="39"/>
    <s v="PROD_ID_002"/>
    <s v="Medium"/>
    <n v="2689"/>
    <n v="7"/>
    <n v="941.15"/>
    <n v="17881.849999999999"/>
    <n v="4436.8499999999985"/>
    <d v="2022-02-03T00:00:00"/>
    <x v="4"/>
    <s v="Q1"/>
    <x v="1"/>
    <x v="39"/>
    <s v="Paseo"/>
    <x v="7"/>
  </r>
  <r>
    <x v="4"/>
    <x v="59"/>
    <s v="PROD_ID_002"/>
    <s v="Medium"/>
    <n v="2431"/>
    <n v="12"/>
    <n v="1458.6"/>
    <n v="27713.4"/>
    <n v="20420.400000000001"/>
    <d v="2022-12-10T00:00:00"/>
    <x v="7"/>
    <s v="Q4"/>
    <x v="1"/>
    <x v="41"/>
    <s v="Paseo"/>
    <x v="3"/>
  </r>
  <r>
    <x v="4"/>
    <x v="132"/>
    <s v="PROD_ID_003"/>
    <s v="Medium"/>
    <n v="2431"/>
    <n v="12"/>
    <n v="1458.6"/>
    <n v="27713.4"/>
    <n v="20420.400000000001"/>
    <d v="2022-11-08T00:00:00"/>
    <x v="6"/>
    <s v="Q4"/>
    <x v="1"/>
    <x v="80"/>
    <s v="Velo"/>
    <x v="4"/>
  </r>
  <r>
    <x v="3"/>
    <x v="33"/>
    <s v="PROD_ID_004"/>
    <s v="Medium"/>
    <n v="2689"/>
    <n v="7"/>
    <n v="941.15"/>
    <n v="17881.849999999999"/>
    <n v="4436.8499999999985"/>
    <d v="2021-07-14T00:00:00"/>
    <x v="3"/>
    <s v="Q3"/>
    <x v="1"/>
    <x v="33"/>
    <s v="VTT"/>
    <x v="1"/>
  </r>
  <r>
    <x v="3"/>
    <x v="92"/>
    <s v="PROD_ID_006"/>
    <s v="Medium"/>
    <n v="1683"/>
    <n v="7"/>
    <n v="589.04999999999995"/>
    <n v="11191.95"/>
    <n v="2776.9500000000007"/>
    <d v="2022-01-16T00:00:00"/>
    <x v="1"/>
    <s v="Q1"/>
    <x v="1"/>
    <x v="56"/>
    <s v="Amarilla"/>
    <x v="4"/>
  </r>
  <r>
    <x v="4"/>
    <x v="75"/>
    <s v="PROD_ID_006"/>
    <s v="Medium"/>
    <n v="1123"/>
    <n v="12"/>
    <n v="673.8"/>
    <n v="12802.2"/>
    <n v="9433.2000000000007"/>
    <d v="2022-01-01T00:00:00"/>
    <x v="1"/>
    <s v="Q1"/>
    <x v="1"/>
    <x v="73"/>
    <s v="Amarilla"/>
    <x v="3"/>
  </r>
  <r>
    <x v="4"/>
    <x v="87"/>
    <s v="PROD_ID_005"/>
    <s v="Medium"/>
    <n v="1865"/>
    <n v="12"/>
    <n v="1119"/>
    <n v="21261"/>
    <n v="15666"/>
    <d v="2022-01-13T00:00:00"/>
    <x v="1"/>
    <s v="Q1"/>
    <x v="1"/>
    <x v="81"/>
    <s v="Carretera"/>
    <x v="7"/>
  </r>
  <r>
    <x v="4"/>
    <x v="9"/>
    <s v="PROD_ID_005"/>
    <s v="Medium"/>
    <n v="1116"/>
    <n v="12"/>
    <n v="669.6"/>
    <n v="12722.4"/>
    <n v="9374.4"/>
    <d v="2021-05-29T00:00:00"/>
    <x v="10"/>
    <s v="Q2"/>
    <x v="1"/>
    <x v="9"/>
    <s v="Carretera"/>
    <x v="1"/>
  </r>
  <r>
    <x v="3"/>
    <x v="20"/>
    <s v="PROD_ID_005"/>
    <s v="Medium"/>
    <n v="1563"/>
    <n v="20"/>
    <n v="1563"/>
    <n v="29697"/>
    <n v="14067"/>
    <d v="2021-08-09T00:00:00"/>
    <x v="2"/>
    <s v="Q3"/>
    <x v="1"/>
    <x v="20"/>
    <s v="Carretera"/>
    <x v="4"/>
  </r>
  <r>
    <x v="2"/>
    <x v="133"/>
    <s v="PROD_ID_005"/>
    <s v="Medium"/>
    <n v="991"/>
    <n v="300"/>
    <n v="14865"/>
    <n v="282435"/>
    <n v="34685"/>
    <d v="2022-12-23T00:00:00"/>
    <x v="7"/>
    <s v="Q4"/>
    <x v="1"/>
    <x v="49"/>
    <s v="Carretera"/>
    <x v="5"/>
  </r>
  <r>
    <x v="1"/>
    <x v="107"/>
    <s v="PROD_ID_005"/>
    <s v="Medium"/>
    <n v="2791"/>
    <n v="15"/>
    <n v="2093.25"/>
    <n v="39771.75"/>
    <n v="11861.75"/>
    <d v="2021-09-06T00:00:00"/>
    <x v="0"/>
    <s v="Q3"/>
    <x v="1"/>
    <x v="79"/>
    <s v="Carretera"/>
    <x v="3"/>
  </r>
  <r>
    <x v="3"/>
    <x v="56"/>
    <s v="PROD_ID_005"/>
    <s v="Medium"/>
    <n v="570"/>
    <n v="7"/>
    <n v="199.5"/>
    <n v="3790.5"/>
    <n v="940.5"/>
    <d v="2021-04-05T00:00:00"/>
    <x v="5"/>
    <s v="Q2"/>
    <x v="1"/>
    <x v="56"/>
    <s v="Carretera"/>
    <x v="0"/>
  </r>
  <r>
    <x v="3"/>
    <x v="20"/>
    <s v="PROD_ID_005"/>
    <s v="Medium"/>
    <n v="2487"/>
    <n v="7"/>
    <n v="870.45"/>
    <n v="16538.55"/>
    <n v="4103.5499999999993"/>
    <d v="2022-08-08T00:00:00"/>
    <x v="2"/>
    <s v="Q3"/>
    <x v="1"/>
    <x v="20"/>
    <s v="Carretera"/>
    <x v="4"/>
  </r>
  <r>
    <x v="3"/>
    <x v="58"/>
    <s v="PROD_ID_001"/>
    <s v="Medium"/>
    <n v="1384.5"/>
    <n v="350"/>
    <n v="24228.75"/>
    <n v="460346.25"/>
    <n v="100376.25"/>
    <d v="2021-06-24T00:00:00"/>
    <x v="11"/>
    <s v="Q2"/>
    <x v="1"/>
    <x v="58"/>
    <s v="Montana"/>
    <x v="2"/>
  </r>
  <r>
    <x v="0"/>
    <x v="12"/>
    <s v="PROD_ID_001"/>
    <s v="Medium"/>
    <n v="3627"/>
    <n v="125"/>
    <n v="22668.75"/>
    <n v="430706.25"/>
    <n v="-4533.75"/>
    <d v="2021-06-06T00:00:00"/>
    <x v="11"/>
    <s v="Q2"/>
    <x v="1"/>
    <x v="12"/>
    <s v="Montana"/>
    <x v="4"/>
  </r>
  <r>
    <x v="4"/>
    <x v="110"/>
    <s v="PROD_ID_001"/>
    <s v="Medium"/>
    <n v="2342"/>
    <n v="12"/>
    <n v="1405.2"/>
    <n v="26698.799999999999"/>
    <n v="19672.8"/>
    <d v="2021-08-24T00:00:00"/>
    <x v="2"/>
    <s v="Q3"/>
    <x v="1"/>
    <x v="50"/>
    <s v="Montana"/>
    <x v="6"/>
  </r>
  <r>
    <x v="3"/>
    <x v="51"/>
    <s v="PROD_ID_002"/>
    <s v="Medium"/>
    <n v="1303"/>
    <n v="20"/>
    <n v="1303"/>
    <n v="24757"/>
    <n v="11727"/>
    <d v="2022-11-23T00:00:00"/>
    <x v="6"/>
    <s v="Q4"/>
    <x v="1"/>
    <x v="51"/>
    <s v="Paseo"/>
    <x v="3"/>
  </r>
  <r>
    <x v="0"/>
    <x v="114"/>
    <s v="PROD_ID_002"/>
    <s v="Medium"/>
    <n v="2992"/>
    <n v="125"/>
    <n v="18700"/>
    <n v="355300"/>
    <n v="-3740"/>
    <d v="2022-05-16T00:00:00"/>
    <x v="10"/>
    <s v="Q2"/>
    <x v="1"/>
    <x v="84"/>
    <s v="Paseo"/>
    <x v="2"/>
  </r>
  <r>
    <x v="0"/>
    <x v="50"/>
    <s v="PROD_ID_002"/>
    <s v="Medium"/>
    <n v="2385"/>
    <n v="125"/>
    <n v="14906.25"/>
    <n v="283218.75"/>
    <n v="-2981.25"/>
    <d v="2021-01-13T00:00:00"/>
    <x v="1"/>
    <s v="Q1"/>
    <x v="1"/>
    <x v="50"/>
    <s v="Paseo"/>
    <x v="2"/>
  </r>
  <r>
    <x v="2"/>
    <x v="2"/>
    <s v="PROD_ID_002"/>
    <s v="Medium"/>
    <n v="1607"/>
    <n v="300"/>
    <n v="24105"/>
    <n v="457995"/>
    <n v="56245"/>
    <d v="2021-03-03T00:00:00"/>
    <x v="8"/>
    <s v="Q1"/>
    <x v="1"/>
    <x v="2"/>
    <s v="Paseo"/>
    <x v="2"/>
  </r>
  <r>
    <x v="3"/>
    <x v="26"/>
    <s v="PROD_ID_002"/>
    <s v="Medium"/>
    <n v="2327"/>
    <n v="7"/>
    <n v="814.45"/>
    <n v="15474.55"/>
    <n v="3839.5499999999993"/>
    <d v="2022-03-25T00:00:00"/>
    <x v="8"/>
    <s v="Q1"/>
    <x v="1"/>
    <x v="26"/>
    <s v="Paseo"/>
    <x v="2"/>
  </r>
  <r>
    <x v="2"/>
    <x v="115"/>
    <s v="PROD_ID_002"/>
    <s v="Medium"/>
    <n v="991"/>
    <n v="300"/>
    <n v="14865"/>
    <n v="282435"/>
    <n v="34685"/>
    <d v="2021-10-07T00:00:00"/>
    <x v="9"/>
    <s v="Q4"/>
    <x v="1"/>
    <x v="85"/>
    <s v="Paseo"/>
    <x v="3"/>
  </r>
  <r>
    <x v="3"/>
    <x v="26"/>
    <s v="PROD_ID_002"/>
    <s v="Medium"/>
    <n v="602"/>
    <n v="350"/>
    <n v="10535"/>
    <n v="200165"/>
    <n v="43645"/>
    <d v="2022-11-21T00:00:00"/>
    <x v="6"/>
    <s v="Q4"/>
    <x v="1"/>
    <x v="26"/>
    <s v="Paseo"/>
    <x v="2"/>
  </r>
  <r>
    <x v="1"/>
    <x v="1"/>
    <s v="PROD_ID_002"/>
    <s v="Medium"/>
    <n v="2620"/>
    <n v="15"/>
    <n v="1965"/>
    <n v="37335"/>
    <n v="11135"/>
    <d v="2021-01-31T00:00:00"/>
    <x v="1"/>
    <s v="Q1"/>
    <x v="1"/>
    <x v="1"/>
    <s v="Paseo"/>
    <x v="1"/>
  </r>
  <r>
    <x v="0"/>
    <x v="114"/>
    <s v="PROD_ID_002"/>
    <s v="Medium"/>
    <n v="861"/>
    <n v="125"/>
    <n v="5381.25"/>
    <n v="102243.75"/>
    <n v="-1076.25"/>
    <d v="2021-07-17T00:00:00"/>
    <x v="3"/>
    <s v="Q3"/>
    <x v="1"/>
    <x v="84"/>
    <s v="Paseo"/>
    <x v="2"/>
  </r>
  <r>
    <x v="3"/>
    <x v="26"/>
    <s v="PROD_ID_002"/>
    <s v="Medium"/>
    <n v="2663"/>
    <n v="20"/>
    <n v="2663"/>
    <n v="50597"/>
    <n v="23967"/>
    <d v="2021-01-20T00:00:00"/>
    <x v="1"/>
    <s v="Q1"/>
    <x v="1"/>
    <x v="26"/>
    <s v="Paseo"/>
    <x v="2"/>
  </r>
  <r>
    <x v="1"/>
    <x v="134"/>
    <s v="PROD_ID_003"/>
    <s v="Medium"/>
    <n v="555"/>
    <n v="15"/>
    <n v="416.25"/>
    <n v="7908.75"/>
    <n v="2358.75"/>
    <d v="2021-10-03T00:00:00"/>
    <x v="9"/>
    <s v="Q4"/>
    <x v="1"/>
    <x v="50"/>
    <s v="Velo"/>
    <x v="6"/>
  </r>
  <r>
    <x v="1"/>
    <x v="90"/>
    <s v="PROD_ID_003"/>
    <s v="Medium"/>
    <n v="2861"/>
    <n v="15"/>
    <n v="2145.75"/>
    <n v="40769.25"/>
    <n v="12159.25"/>
    <d v="2022-07-20T00:00:00"/>
    <x v="3"/>
    <s v="Q3"/>
    <x v="1"/>
    <x v="84"/>
    <s v="Velo"/>
    <x v="2"/>
  </r>
  <r>
    <x v="0"/>
    <x v="28"/>
    <s v="PROD_ID_003"/>
    <s v="Medium"/>
    <n v="807"/>
    <n v="125"/>
    <n v="5043.75"/>
    <n v="95831.25"/>
    <n v="-1008.75"/>
    <d v="2022-10-07T00:00:00"/>
    <x v="9"/>
    <s v="Q4"/>
    <x v="1"/>
    <x v="28"/>
    <s v="Velo"/>
    <x v="4"/>
  </r>
  <r>
    <x v="3"/>
    <x v="40"/>
    <s v="PROD_ID_003"/>
    <s v="Medium"/>
    <n v="602"/>
    <n v="350"/>
    <n v="10535"/>
    <n v="200165"/>
    <n v="43645"/>
    <d v="2022-01-23T00:00:00"/>
    <x v="1"/>
    <s v="Q1"/>
    <x v="1"/>
    <x v="40"/>
    <s v="Velo"/>
    <x v="0"/>
  </r>
  <r>
    <x v="3"/>
    <x v="40"/>
    <s v="PROD_ID_003"/>
    <s v="Medium"/>
    <n v="2832"/>
    <n v="20"/>
    <n v="2832"/>
    <n v="53808"/>
    <n v="25488"/>
    <d v="2021-12-10T00:00:00"/>
    <x v="7"/>
    <s v="Q4"/>
    <x v="1"/>
    <x v="40"/>
    <s v="Velo"/>
    <x v="0"/>
  </r>
  <r>
    <x v="3"/>
    <x v="53"/>
    <s v="PROD_ID_003"/>
    <s v="Medium"/>
    <n v="1579"/>
    <n v="20"/>
    <n v="1579"/>
    <n v="30001"/>
    <n v="14211"/>
    <d v="2022-11-13T00:00:00"/>
    <x v="6"/>
    <s v="Q4"/>
    <x v="1"/>
    <x v="53"/>
    <s v="Velo"/>
    <x v="5"/>
  </r>
  <r>
    <x v="0"/>
    <x v="14"/>
    <s v="PROD_ID_003"/>
    <s v="Medium"/>
    <n v="861"/>
    <n v="125"/>
    <n v="5381.25"/>
    <n v="102243.75"/>
    <n v="-1076.25"/>
    <d v="2022-04-27T00:00:00"/>
    <x v="5"/>
    <s v="Q2"/>
    <x v="1"/>
    <x v="14"/>
    <s v="Velo"/>
    <x v="6"/>
  </r>
  <r>
    <x v="2"/>
    <x v="101"/>
    <s v="PROD_ID_003"/>
    <s v="Medium"/>
    <n v="1250"/>
    <n v="300"/>
    <n v="18750"/>
    <n v="356250"/>
    <n v="43750"/>
    <d v="2022-05-25T00:00:00"/>
    <x v="10"/>
    <s v="Q2"/>
    <x v="1"/>
    <x v="90"/>
    <s v="Velo"/>
    <x v="5"/>
  </r>
  <r>
    <x v="3"/>
    <x v="32"/>
    <s v="PROD_ID_004"/>
    <s v="Medium"/>
    <n v="2663"/>
    <n v="20"/>
    <n v="2663"/>
    <n v="50597"/>
    <n v="23967"/>
    <d v="2022-08-16T00:00:00"/>
    <x v="2"/>
    <s v="Q3"/>
    <x v="1"/>
    <x v="32"/>
    <s v="VTT"/>
    <x v="0"/>
  </r>
  <r>
    <x v="3"/>
    <x v="32"/>
    <s v="PROD_ID_004"/>
    <s v="Medium"/>
    <n v="570"/>
    <n v="7"/>
    <n v="199.5"/>
    <n v="3790.5"/>
    <n v="940.5"/>
    <d v="2022-10-24T00:00:00"/>
    <x v="9"/>
    <s v="Q4"/>
    <x v="1"/>
    <x v="32"/>
    <s v="VTT"/>
    <x v="0"/>
  </r>
  <r>
    <x v="3"/>
    <x v="7"/>
    <s v="PROD_ID_004"/>
    <s v="Medium"/>
    <n v="2487"/>
    <n v="7"/>
    <n v="870.45"/>
    <n v="16538.55"/>
    <n v="4103.5499999999993"/>
    <d v="2022-03-27T00:00:00"/>
    <x v="8"/>
    <s v="Q1"/>
    <x v="1"/>
    <x v="7"/>
    <s v="VTT"/>
    <x v="7"/>
  </r>
  <r>
    <x v="3"/>
    <x v="34"/>
    <s v="PROD_ID_006"/>
    <s v="Medium"/>
    <n v="1350"/>
    <n v="350"/>
    <n v="23625"/>
    <n v="448875"/>
    <n v="97875"/>
    <d v="2022-12-18T00:00:00"/>
    <x v="7"/>
    <s v="Q4"/>
    <x v="1"/>
    <x v="34"/>
    <s v="Amarilla"/>
    <x v="2"/>
  </r>
  <r>
    <x v="3"/>
    <x v="46"/>
    <s v="PROD_ID_006"/>
    <s v="Medium"/>
    <n v="552"/>
    <n v="350"/>
    <n v="9660"/>
    <n v="183540"/>
    <n v="40020"/>
    <d v="2021-08-29T00:00:00"/>
    <x v="2"/>
    <s v="Q3"/>
    <x v="1"/>
    <x v="46"/>
    <s v="Amarilla"/>
    <x v="6"/>
  </r>
  <r>
    <x v="2"/>
    <x v="125"/>
    <s v="PROD_ID_006"/>
    <s v="Medium"/>
    <n v="1250"/>
    <n v="300"/>
    <n v="18750"/>
    <n v="356250"/>
    <n v="43750"/>
    <d v="2022-08-15T00:00:00"/>
    <x v="2"/>
    <s v="Q3"/>
    <x v="1"/>
    <x v="90"/>
    <s v="Amarilla"/>
    <x v="5"/>
  </r>
  <r>
    <x v="1"/>
    <x v="1"/>
    <s v="PROD_ID_002"/>
    <s v="Medium"/>
    <n v="3801"/>
    <n v="15"/>
    <n v="3420.8999999999996"/>
    <n v="53594.100000000006"/>
    <n v="15584.100000000002"/>
    <d v="2022-03-19T00:00:00"/>
    <x v="8"/>
    <s v="Q1"/>
    <x v="1"/>
    <x v="1"/>
    <s v="Paseo"/>
    <x v="1"/>
  </r>
  <r>
    <x v="3"/>
    <x v="56"/>
    <s v="PROD_ID_005"/>
    <s v="Medium"/>
    <n v="1117.5"/>
    <n v="20"/>
    <n v="1341"/>
    <n v="21009"/>
    <n v="9834"/>
    <d v="2021-06-12T00:00:00"/>
    <x v="11"/>
    <s v="Q2"/>
    <x v="1"/>
    <x v="56"/>
    <s v="Carretera"/>
    <x v="0"/>
  </r>
  <r>
    <x v="1"/>
    <x v="89"/>
    <s v="PROD_ID_005"/>
    <s v="Medium"/>
    <n v="2844"/>
    <n v="15"/>
    <n v="2559.6"/>
    <n v="40100.400000000001"/>
    <n v="11660.400000000001"/>
    <d v="2021-07-27T00:00:00"/>
    <x v="3"/>
    <s v="Q3"/>
    <x v="1"/>
    <x v="83"/>
    <s v="Carretera"/>
    <x v="1"/>
  </r>
  <r>
    <x v="4"/>
    <x v="76"/>
    <s v="PROD_ID_005"/>
    <s v="Medium"/>
    <n v="562"/>
    <n v="12"/>
    <n v="404.64"/>
    <n v="6339.36"/>
    <n v="4653.3599999999997"/>
    <d v="2021-11-23T00:00:00"/>
    <x v="6"/>
    <s v="Q4"/>
    <x v="1"/>
    <x v="74"/>
    <s v="Carretera"/>
    <x v="4"/>
  </r>
  <r>
    <x v="1"/>
    <x v="135"/>
    <s v="PROD_ID_005"/>
    <s v="Medium"/>
    <n v="2030"/>
    <n v="15"/>
    <n v="1827"/>
    <n v="28623"/>
    <n v="8323"/>
    <d v="2021-07-26T00:00:00"/>
    <x v="3"/>
    <s v="Q3"/>
    <x v="1"/>
    <x v="81"/>
    <s v="Carretera"/>
    <x v="7"/>
  </r>
  <r>
    <x v="3"/>
    <x v="48"/>
    <s v="PROD_ID_001"/>
    <s v="Medium"/>
    <n v="980"/>
    <n v="350"/>
    <n v="20580"/>
    <n v="322420"/>
    <n v="67620"/>
    <d v="2022-07-15T00:00:00"/>
    <x v="3"/>
    <s v="Q3"/>
    <x v="1"/>
    <x v="48"/>
    <s v="Montana"/>
    <x v="0"/>
  </r>
  <r>
    <x v="3"/>
    <x v="36"/>
    <s v="PROD_ID_001"/>
    <s v="Medium"/>
    <n v="1460"/>
    <n v="350"/>
    <n v="30660"/>
    <n v="480340"/>
    <n v="100740"/>
    <d v="2022-05-17T00:00:00"/>
    <x v="10"/>
    <s v="Q2"/>
    <x v="1"/>
    <x v="36"/>
    <s v="Montana"/>
    <x v="4"/>
  </r>
  <r>
    <x v="4"/>
    <x v="118"/>
    <s v="PROD_ID_001"/>
    <s v="Medium"/>
    <n v="2723"/>
    <n v="12"/>
    <n v="1960.56"/>
    <n v="30715.439999999999"/>
    <n v="22546.44"/>
    <d v="2022-11-20T00:00:00"/>
    <x v="6"/>
    <s v="Q4"/>
    <x v="1"/>
    <x v="87"/>
    <s v="Montana"/>
    <x v="6"/>
  </r>
  <r>
    <x v="3"/>
    <x v="51"/>
    <s v="PROD_ID_002"/>
    <s v="Medium"/>
    <n v="1496"/>
    <n v="350"/>
    <n v="31416"/>
    <n v="492184"/>
    <n v="103224"/>
    <d v="2021-03-01T00:00:00"/>
    <x v="8"/>
    <s v="Q1"/>
    <x v="1"/>
    <x v="51"/>
    <s v="Paseo"/>
    <x v="3"/>
  </r>
  <r>
    <x v="0"/>
    <x v="6"/>
    <s v="PROD_ID_003"/>
    <s v="Medium"/>
    <n v="952"/>
    <n v="125"/>
    <n v="7140"/>
    <n v="111860"/>
    <n v="-2380"/>
    <d v="2022-11-11T00:00:00"/>
    <x v="6"/>
    <s v="Q4"/>
    <x v="1"/>
    <x v="6"/>
    <s v="Velo"/>
    <x v="6"/>
  </r>
  <r>
    <x v="0"/>
    <x v="14"/>
    <s v="PROD_ID_003"/>
    <s v="Medium"/>
    <n v="2755"/>
    <n v="125"/>
    <n v="20662.5"/>
    <n v="323712.5"/>
    <n v="-6887.5"/>
    <d v="2021-08-17T00:00:00"/>
    <x v="2"/>
    <s v="Q3"/>
    <x v="1"/>
    <x v="14"/>
    <s v="Velo"/>
    <x v="6"/>
  </r>
  <r>
    <x v="1"/>
    <x v="95"/>
    <s v="PROD_ID_003"/>
    <s v="Medium"/>
    <n v="1530"/>
    <n v="15"/>
    <n v="1377"/>
    <n v="21573"/>
    <n v="6273"/>
    <d v="2022-08-24T00:00:00"/>
    <x v="2"/>
    <s v="Q3"/>
    <x v="1"/>
    <x v="88"/>
    <s v="Velo"/>
    <x v="7"/>
  </r>
  <r>
    <x v="3"/>
    <x v="53"/>
    <s v="PROD_ID_003"/>
    <s v="Medium"/>
    <n v="1496"/>
    <n v="350"/>
    <n v="31416"/>
    <n v="492184"/>
    <n v="103224"/>
    <d v="2021-05-14T00:00:00"/>
    <x v="10"/>
    <s v="Q2"/>
    <x v="1"/>
    <x v="53"/>
    <s v="Velo"/>
    <x v="5"/>
  </r>
  <r>
    <x v="3"/>
    <x v="30"/>
    <s v="PROD_ID_003"/>
    <s v="Medium"/>
    <n v="1498"/>
    <n v="7"/>
    <n v="629.16"/>
    <n v="9856.84"/>
    <n v="2366.84"/>
    <d v="2022-01-11T00:00:00"/>
    <x v="1"/>
    <s v="Q1"/>
    <x v="1"/>
    <x v="30"/>
    <s v="Velo"/>
    <x v="6"/>
  </r>
  <r>
    <x v="1"/>
    <x v="136"/>
    <s v="PROD_ID_004"/>
    <s v="Medium"/>
    <n v="2844"/>
    <n v="15"/>
    <n v="2559.6"/>
    <n v="40100.400000000001"/>
    <n v="11660.400000000001"/>
    <d v="2021-11-21T00:00:00"/>
    <x v="6"/>
    <s v="Q4"/>
    <x v="1"/>
    <x v="82"/>
    <s v="VTT"/>
    <x v="0"/>
  </r>
  <r>
    <x v="3"/>
    <x v="33"/>
    <s v="PROD_ID_004"/>
    <s v="Medium"/>
    <n v="1498"/>
    <n v="7"/>
    <n v="629.16"/>
    <n v="9856.84"/>
    <n v="2366.84"/>
    <d v="2021-03-15T00:00:00"/>
    <x v="8"/>
    <s v="Q1"/>
    <x v="1"/>
    <x v="33"/>
    <s v="VTT"/>
    <x v="1"/>
  </r>
  <r>
    <x v="0"/>
    <x v="137"/>
    <s v="PROD_ID_006"/>
    <s v="Medium"/>
    <n v="1987.5"/>
    <n v="125"/>
    <n v="14906.25"/>
    <n v="233531.25"/>
    <n v="-4968.75"/>
    <d v="2022-06-28T00:00:00"/>
    <x v="11"/>
    <s v="Q2"/>
    <x v="1"/>
    <x v="83"/>
    <s v="Amarilla"/>
    <x v="1"/>
  </r>
  <r>
    <x v="3"/>
    <x v="92"/>
    <s v="PROD_ID_006"/>
    <s v="Medium"/>
    <n v="1679"/>
    <n v="350"/>
    <n v="35259"/>
    <n v="552391"/>
    <n v="115851"/>
    <d v="2021-11-18T00:00:00"/>
    <x v="6"/>
    <s v="Q4"/>
    <x v="1"/>
    <x v="56"/>
    <s v="Amarilla"/>
    <x v="4"/>
  </r>
  <r>
    <x v="1"/>
    <x v="25"/>
    <s v="PROD_ID_002"/>
    <s v="Medium"/>
    <n v="2198"/>
    <n v="15"/>
    <n v="1978.2"/>
    <n v="30991.8"/>
    <n v="9011.7999999999993"/>
    <d v="2022-10-20T00:00:00"/>
    <x v="9"/>
    <s v="Q4"/>
    <x v="1"/>
    <x v="25"/>
    <s v="Paseo"/>
    <x v="1"/>
  </r>
  <r>
    <x v="1"/>
    <x v="37"/>
    <s v="PROD_ID_002"/>
    <s v="Medium"/>
    <n v="1743"/>
    <n v="15"/>
    <n v="1568.7"/>
    <n v="24576.3"/>
    <n v="7146.2999999999993"/>
    <d v="2022-03-16T00:00:00"/>
    <x v="8"/>
    <s v="Q1"/>
    <x v="1"/>
    <x v="37"/>
    <s v="Paseo"/>
    <x v="5"/>
  </r>
  <r>
    <x v="1"/>
    <x v="25"/>
    <s v="PROD_ID_002"/>
    <s v="Medium"/>
    <n v="1153"/>
    <n v="15"/>
    <n v="1037.7"/>
    <n v="16257.3"/>
    <n v="4727.2999999999993"/>
    <d v="2021-11-18T00:00:00"/>
    <x v="6"/>
    <s v="Q4"/>
    <x v="1"/>
    <x v="25"/>
    <s v="Paseo"/>
    <x v="1"/>
  </r>
  <r>
    <x v="3"/>
    <x v="27"/>
    <s v="PROD_ID_003"/>
    <s v="Medium"/>
    <n v="1001"/>
    <n v="20"/>
    <n v="1201.2"/>
    <n v="18818.8"/>
    <n v="8808.7999999999993"/>
    <d v="2022-11-30T00:00:00"/>
    <x v="6"/>
    <s v="Q4"/>
    <x v="1"/>
    <x v="27"/>
    <s v="Velo"/>
    <x v="3"/>
  </r>
  <r>
    <x v="3"/>
    <x v="30"/>
    <s v="PROD_ID_003"/>
    <s v="Medium"/>
    <n v="1333"/>
    <n v="7"/>
    <n v="559.86"/>
    <n v="8771.14"/>
    <n v="2106.1399999999994"/>
    <d v="2021-06-17T00:00:00"/>
    <x v="11"/>
    <s v="Q2"/>
    <x v="1"/>
    <x v="30"/>
    <s v="Velo"/>
    <x v="6"/>
  </r>
  <r>
    <x v="1"/>
    <x v="138"/>
    <s v="PROD_ID_004"/>
    <s v="Medium"/>
    <n v="1153"/>
    <n v="15"/>
    <n v="1037.7"/>
    <n v="16257.3"/>
    <n v="4727.2999999999993"/>
    <d v="2022-10-13T00:00:00"/>
    <x v="9"/>
    <s v="Q4"/>
    <x v="1"/>
    <x v="84"/>
    <s v="VTT"/>
    <x v="2"/>
  </r>
  <r>
    <x v="4"/>
    <x v="76"/>
    <s v="PROD_ID_005"/>
    <s v="Medium"/>
    <n v="727"/>
    <n v="12"/>
    <n v="610.67999999999995"/>
    <n v="8113.32"/>
    <n v="5932.32"/>
    <d v="2022-08-20T00:00:00"/>
    <x v="2"/>
    <s v="Q3"/>
    <x v="1"/>
    <x v="74"/>
    <s v="Carretera"/>
    <x v="4"/>
  </r>
  <r>
    <x v="4"/>
    <x v="35"/>
    <s v="PROD_ID_005"/>
    <s v="Medium"/>
    <n v="1884"/>
    <n v="12"/>
    <n v="1582.56"/>
    <n v="21025.439999999999"/>
    <n v="15373.439999999999"/>
    <d v="2021-04-24T00:00:00"/>
    <x v="5"/>
    <s v="Q2"/>
    <x v="1"/>
    <x v="35"/>
    <s v="Carretera"/>
    <x v="3"/>
  </r>
  <r>
    <x v="4"/>
    <x v="119"/>
    <s v="PROD_ID_001"/>
    <s v="Medium"/>
    <n v="2340"/>
    <n v="12"/>
    <n v="1965.6"/>
    <n v="26114.400000000001"/>
    <n v="19094.400000000001"/>
    <d v="2022-03-08T00:00:00"/>
    <x v="8"/>
    <s v="Q1"/>
    <x v="1"/>
    <x v="69"/>
    <s v="Montana"/>
    <x v="7"/>
  </r>
  <r>
    <x v="4"/>
    <x v="128"/>
    <s v="PROD_ID_001"/>
    <s v="Medium"/>
    <n v="2342"/>
    <n v="12"/>
    <n v="1967.28"/>
    <n v="26136.720000000001"/>
    <n v="19110.72"/>
    <d v="2021-08-25T00:00:00"/>
    <x v="2"/>
    <s v="Q3"/>
    <x v="1"/>
    <x v="38"/>
    <s v="Montana"/>
    <x v="0"/>
  </r>
  <r>
    <x v="1"/>
    <x v="139"/>
    <s v="PROD_ID_003"/>
    <s v="Medium"/>
    <n v="1262"/>
    <n v="15"/>
    <n v="1325.1"/>
    <n v="17604.900000000001"/>
    <n v="4984.9000000000015"/>
    <d v="2021-04-18T00:00:00"/>
    <x v="5"/>
    <s v="Q2"/>
    <x v="1"/>
    <x v="85"/>
    <s v="Velo"/>
    <x v="3"/>
  </r>
  <r>
    <x v="3"/>
    <x v="15"/>
    <s v="PROD_ID_003"/>
    <s v="Medium"/>
    <n v="1135"/>
    <n v="7"/>
    <n v="556.15"/>
    <n v="7388.85"/>
    <n v="1713.8500000000004"/>
    <d v="2021-05-08T00:00:00"/>
    <x v="10"/>
    <s v="Q2"/>
    <x v="1"/>
    <x v="15"/>
    <s v="Velo"/>
    <x v="7"/>
  </r>
  <r>
    <x v="3"/>
    <x v="40"/>
    <s v="PROD_ID_003"/>
    <s v="Medium"/>
    <n v="547"/>
    <n v="7"/>
    <n v="268.02999999999997"/>
    <n v="3560.9700000000003"/>
    <n v="825.97000000000025"/>
    <d v="2022-08-04T00:00:00"/>
    <x v="2"/>
    <s v="Q3"/>
    <x v="1"/>
    <x v="40"/>
    <s v="Velo"/>
    <x v="0"/>
  </r>
  <r>
    <x v="3"/>
    <x v="15"/>
    <s v="PROD_ID_003"/>
    <s v="Medium"/>
    <n v="1582"/>
    <n v="7"/>
    <n v="775.18"/>
    <n v="10298.82"/>
    <n v="2388.8199999999997"/>
    <d v="2021-04-05T00:00:00"/>
    <x v="5"/>
    <s v="Q2"/>
    <x v="1"/>
    <x v="15"/>
    <s v="Velo"/>
    <x v="7"/>
  </r>
  <r>
    <x v="4"/>
    <x v="80"/>
    <s v="PROD_ID_004"/>
    <s v="Medium"/>
    <n v="1738.5"/>
    <n v="12"/>
    <n v="1460.34"/>
    <n v="19401.66"/>
    <n v="14186.16"/>
    <d v="2022-02-25T00:00:00"/>
    <x v="4"/>
    <s v="Q1"/>
    <x v="1"/>
    <x v="76"/>
    <s v="VTT"/>
    <x v="0"/>
  </r>
  <r>
    <x v="3"/>
    <x v="54"/>
    <s v="PROD_ID_004"/>
    <s v="Medium"/>
    <n v="1582"/>
    <n v="7"/>
    <n v="775.18"/>
    <n v="10298.82"/>
    <n v="2388.8199999999997"/>
    <d v="2022-01-01T00:00:00"/>
    <x v="1"/>
    <s v="Q1"/>
    <x v="1"/>
    <x v="54"/>
    <s v="VTT"/>
    <x v="6"/>
  </r>
  <r>
    <x v="3"/>
    <x v="46"/>
    <s v="PROD_ID_006"/>
    <s v="Medium"/>
    <n v="1135"/>
    <n v="7"/>
    <n v="556.15"/>
    <n v="7388.85"/>
    <n v="1713.8500000000004"/>
    <d v="2021-06-04T00:00:00"/>
    <x v="11"/>
    <s v="Q2"/>
    <x v="1"/>
    <x v="46"/>
    <s v="Amarilla"/>
    <x v="6"/>
  </r>
  <r>
    <x v="3"/>
    <x v="56"/>
    <s v="PROD_ID_005"/>
    <s v="Medium"/>
    <n v="1761"/>
    <n v="350"/>
    <n v="43144.5"/>
    <n v="573205.5"/>
    <n v="115345.5"/>
    <d v="2022-05-03T00:00:00"/>
    <x v="10"/>
    <s v="Q2"/>
    <x v="1"/>
    <x v="56"/>
    <s v="Carretera"/>
    <x v="0"/>
  </r>
  <r>
    <x v="2"/>
    <x v="140"/>
    <s v="PROD_ID_005"/>
    <s v="Medium"/>
    <n v="448"/>
    <n v="300"/>
    <n v="9408"/>
    <n v="124992"/>
    <n v="12992"/>
    <d v="2022-08-14T00:00:00"/>
    <x v="2"/>
    <s v="Q3"/>
    <x v="1"/>
    <x v="56"/>
    <s v="Carretera"/>
    <x v="4"/>
  </r>
  <r>
    <x v="2"/>
    <x v="140"/>
    <s v="PROD_ID_005"/>
    <s v="Medium"/>
    <n v="2181"/>
    <n v="300"/>
    <n v="45801"/>
    <n v="608499"/>
    <n v="63249"/>
    <d v="2021-07-24T00:00:00"/>
    <x v="3"/>
    <s v="Q3"/>
    <x v="1"/>
    <x v="56"/>
    <s v="Carretera"/>
    <x v="4"/>
  </r>
  <r>
    <x v="3"/>
    <x v="58"/>
    <s v="PROD_ID_001"/>
    <s v="Medium"/>
    <n v="1976"/>
    <n v="20"/>
    <n v="2766.4"/>
    <n v="36753.599999999999"/>
    <n v="16993.599999999999"/>
    <d v="2021-09-24T00:00:00"/>
    <x v="0"/>
    <s v="Q3"/>
    <x v="1"/>
    <x v="58"/>
    <s v="Montana"/>
    <x v="2"/>
  </r>
  <r>
    <x v="2"/>
    <x v="77"/>
    <s v="PROD_ID_001"/>
    <s v="Medium"/>
    <n v="2181"/>
    <n v="300"/>
    <n v="45801"/>
    <n v="608499"/>
    <n v="63249"/>
    <d v="2022-07-26T00:00:00"/>
    <x v="3"/>
    <s v="Q3"/>
    <x v="1"/>
    <x v="75"/>
    <s v="Montana"/>
    <x v="5"/>
  </r>
  <r>
    <x v="2"/>
    <x v="69"/>
    <s v="PROD_ID_002"/>
    <s v="Medium"/>
    <n v="1702"/>
    <n v="300"/>
    <n v="35742"/>
    <n v="474858"/>
    <n v="49358"/>
    <d v="2022-05-17T00:00:00"/>
    <x v="10"/>
    <s v="Q2"/>
    <x v="1"/>
    <x v="67"/>
    <s v="Paseo"/>
    <x v="5"/>
  </r>
  <r>
    <x v="2"/>
    <x v="120"/>
    <s v="PROD_ID_002"/>
    <s v="Medium"/>
    <n v="448"/>
    <n v="300"/>
    <n v="9408"/>
    <n v="124992"/>
    <n v="12992"/>
    <d v="2022-06-04T00:00:00"/>
    <x v="11"/>
    <s v="Q2"/>
    <x v="1"/>
    <x v="70"/>
    <s v="Paseo"/>
    <x v="0"/>
  </r>
  <r>
    <x v="0"/>
    <x v="22"/>
    <s v="PROD_ID_002"/>
    <s v="Medium"/>
    <n v="3513"/>
    <n v="125"/>
    <n v="30738.75"/>
    <n v="408386.25"/>
    <n v="-13173.75"/>
    <d v="2021-10-09T00:00:00"/>
    <x v="9"/>
    <s v="Q4"/>
    <x v="1"/>
    <x v="22"/>
    <s v="Paseo"/>
    <x v="6"/>
  </r>
  <r>
    <x v="1"/>
    <x v="1"/>
    <s v="PROD_ID_002"/>
    <s v="Medium"/>
    <n v="2101"/>
    <n v="15"/>
    <n v="2206.0500000000002"/>
    <n v="29308.95"/>
    <n v="8298.9500000000007"/>
    <d v="2021-04-28T00:00:00"/>
    <x v="5"/>
    <s v="Q2"/>
    <x v="1"/>
    <x v="1"/>
    <s v="Paseo"/>
    <x v="1"/>
  </r>
  <r>
    <x v="3"/>
    <x v="51"/>
    <s v="PROD_ID_002"/>
    <s v="Medium"/>
    <n v="1535"/>
    <n v="20"/>
    <n v="2149"/>
    <n v="28551"/>
    <n v="13201"/>
    <d v="2021-03-06T00:00:00"/>
    <x v="8"/>
    <s v="Q1"/>
    <x v="1"/>
    <x v="51"/>
    <s v="Paseo"/>
    <x v="3"/>
  </r>
  <r>
    <x v="2"/>
    <x v="60"/>
    <s v="PROD_ID_003"/>
    <s v="Medium"/>
    <n v="1659"/>
    <n v="300"/>
    <n v="34839"/>
    <n v="462861"/>
    <n v="48111"/>
    <d v="2022-11-06T00:00:00"/>
    <x v="6"/>
    <s v="Q4"/>
    <x v="1"/>
    <x v="59"/>
    <s v="Velo"/>
    <x v="4"/>
  </r>
  <r>
    <x v="3"/>
    <x v="30"/>
    <s v="PROD_ID_003"/>
    <s v="Medium"/>
    <n v="609"/>
    <n v="20"/>
    <n v="852.6"/>
    <n v="11327.4"/>
    <n v="5237.3999999999996"/>
    <d v="2021-12-20T00:00:00"/>
    <x v="7"/>
    <s v="Q4"/>
    <x v="1"/>
    <x v="30"/>
    <s v="Velo"/>
    <x v="6"/>
  </r>
  <r>
    <x v="0"/>
    <x v="28"/>
    <s v="PROD_ID_003"/>
    <s v="Medium"/>
    <n v="2087"/>
    <n v="125"/>
    <n v="18261.25"/>
    <n v="242613.75"/>
    <n v="-7826.25"/>
    <d v="2021-04-12T00:00:00"/>
    <x v="5"/>
    <s v="Q2"/>
    <x v="1"/>
    <x v="28"/>
    <s v="Velo"/>
    <x v="4"/>
  </r>
  <r>
    <x v="3"/>
    <x v="53"/>
    <s v="PROD_ID_003"/>
    <s v="Medium"/>
    <n v="1976"/>
    <n v="20"/>
    <n v="2766.4"/>
    <n v="36753.599999999999"/>
    <n v="16993.599999999999"/>
    <d v="2022-08-03T00:00:00"/>
    <x v="2"/>
    <s v="Q3"/>
    <x v="1"/>
    <x v="53"/>
    <s v="Velo"/>
    <x v="5"/>
  </r>
  <r>
    <x v="2"/>
    <x v="85"/>
    <s v="PROD_ID_003"/>
    <s v="Medium"/>
    <n v="1372"/>
    <n v="300"/>
    <n v="28812"/>
    <n v="382788"/>
    <n v="39788"/>
    <d v="2021-07-29T00:00:00"/>
    <x v="3"/>
    <s v="Q3"/>
    <x v="1"/>
    <x v="49"/>
    <s v="Velo"/>
    <x v="5"/>
  </r>
  <r>
    <x v="4"/>
    <x v="141"/>
    <s v="PROD_ID_004"/>
    <s v="Medium"/>
    <n v="3244.5"/>
    <n v="12"/>
    <n v="2725.38"/>
    <n v="36208.620000000003"/>
    <n v="26475.120000000003"/>
    <d v="2022-09-24T00:00:00"/>
    <x v="0"/>
    <s v="Q3"/>
    <x v="1"/>
    <x v="86"/>
    <s v="VTT"/>
    <x v="5"/>
  </r>
  <r>
    <x v="2"/>
    <x v="61"/>
    <s v="PROD_ID_004"/>
    <s v="Medium"/>
    <n v="959"/>
    <n v="300"/>
    <n v="20139"/>
    <n v="267561"/>
    <n v="27811"/>
    <d v="2022-04-14T00:00:00"/>
    <x v="5"/>
    <s v="Q2"/>
    <x v="1"/>
    <x v="60"/>
    <s v="VTT"/>
    <x v="5"/>
  </r>
  <r>
    <x v="2"/>
    <x v="16"/>
    <s v="PROD_ID_004"/>
    <s v="Medium"/>
    <n v="2747"/>
    <n v="300"/>
    <n v="57687"/>
    <n v="766413"/>
    <n v="79663"/>
    <d v="2021-04-10T00:00:00"/>
    <x v="5"/>
    <s v="Q2"/>
    <x v="1"/>
    <x v="16"/>
    <s v="VTT"/>
    <x v="0"/>
  </r>
  <r>
    <x v="0"/>
    <x v="142"/>
    <s v="PROD_ID_006"/>
    <s v="Medium"/>
    <n v="1645"/>
    <n v="125"/>
    <n v="14393.75"/>
    <n v="191231.25"/>
    <n v="-6168.75"/>
    <d v="2022-06-03T00:00:00"/>
    <x v="11"/>
    <s v="Q2"/>
    <x v="1"/>
    <x v="87"/>
    <s v="Amarilla"/>
    <x v="6"/>
  </r>
  <r>
    <x v="3"/>
    <x v="64"/>
    <s v="PROD_ID_006"/>
    <s v="Medium"/>
    <n v="2876"/>
    <n v="350"/>
    <n v="70462"/>
    <n v="936138"/>
    <n v="188378"/>
    <d v="2022-06-30T00:00:00"/>
    <x v="11"/>
    <s v="Q2"/>
    <x v="1"/>
    <x v="63"/>
    <s v="Amarilla"/>
    <x v="0"/>
  </r>
  <r>
    <x v="3"/>
    <x v="46"/>
    <s v="PROD_ID_006"/>
    <s v="Medium"/>
    <n v="1118"/>
    <n v="20"/>
    <n v="1565.2"/>
    <n v="20794.8"/>
    <n v="9614.7999999999993"/>
    <d v="2021-12-04T00:00:00"/>
    <x v="7"/>
    <s v="Q4"/>
    <x v="1"/>
    <x v="46"/>
    <s v="Amarilla"/>
    <x v="6"/>
  </r>
  <r>
    <x v="2"/>
    <x v="143"/>
    <s v="PROD_ID_006"/>
    <s v="Medium"/>
    <n v="1372"/>
    <n v="300"/>
    <n v="28812"/>
    <n v="382788"/>
    <n v="39788"/>
    <d v="2022-09-20T00:00:00"/>
    <x v="0"/>
    <s v="Q3"/>
    <x v="1"/>
    <x v="69"/>
    <s v="Amarilla"/>
    <x v="7"/>
  </r>
  <r>
    <x v="3"/>
    <x v="42"/>
    <s v="PROD_ID_001"/>
    <s v="Medium"/>
    <n v="488"/>
    <n v="7"/>
    <n v="273.27999999999997"/>
    <n v="3142.7200000000003"/>
    <n v="702.72000000000025"/>
    <d v="2022-10-20T00:00:00"/>
    <x v="9"/>
    <s v="Q4"/>
    <x v="1"/>
    <x v="42"/>
    <s v="Montana"/>
    <x v="2"/>
  </r>
  <r>
    <x v="3"/>
    <x v="98"/>
    <s v="PROD_ID_001"/>
    <s v="Medium"/>
    <n v="1282"/>
    <n v="20"/>
    <n v="2051.1999999999998"/>
    <n v="23588.799999999999"/>
    <n v="10768.8"/>
    <d v="2021-10-12T00:00:00"/>
    <x v="9"/>
    <s v="Q4"/>
    <x v="1"/>
    <x v="72"/>
    <s v="Montana"/>
    <x v="2"/>
  </r>
  <r>
    <x v="3"/>
    <x v="3"/>
    <s v="PROD_ID_002"/>
    <s v="Medium"/>
    <n v="257"/>
    <n v="7"/>
    <n v="143.91999999999999"/>
    <n v="1655.08"/>
    <n v="370.07999999999993"/>
    <d v="2021-10-21T00:00:00"/>
    <x v="9"/>
    <s v="Q4"/>
    <x v="1"/>
    <x v="3"/>
    <s v="Paseo"/>
    <x v="3"/>
  </r>
  <r>
    <x v="3"/>
    <x v="63"/>
    <s v="PROD_ID_006"/>
    <s v="Medium"/>
    <n v="1282"/>
    <n v="20"/>
    <n v="2051.1999999999998"/>
    <n v="23588.799999999999"/>
    <n v="10768.8"/>
    <d v="2021-10-02T00:00:00"/>
    <x v="9"/>
    <s v="Q4"/>
    <x v="1"/>
    <x v="62"/>
    <s v="Amarilla"/>
    <x v="7"/>
  </r>
  <r>
    <x v="0"/>
    <x v="99"/>
    <s v="PROD_ID_005"/>
    <s v="Medium"/>
    <n v="1540"/>
    <n v="125"/>
    <n v="15400"/>
    <n v="177100"/>
    <n v="-7700"/>
    <d v="2021-05-31T00:00:00"/>
    <x v="10"/>
    <s v="Q2"/>
    <x v="1"/>
    <x v="73"/>
    <s v="Carretera"/>
    <x v="3"/>
  </r>
  <r>
    <x v="1"/>
    <x v="105"/>
    <s v="PROD_ID_005"/>
    <s v="Medium"/>
    <n v="490"/>
    <n v="15"/>
    <n v="588"/>
    <n v="6762"/>
    <n v="1862"/>
    <d v="2022-01-06T00:00:00"/>
    <x v="1"/>
    <s v="Q1"/>
    <x v="1"/>
    <x v="57"/>
    <s v="Carretera"/>
    <x v="1"/>
  </r>
  <r>
    <x v="3"/>
    <x v="65"/>
    <s v="PROD_ID_005"/>
    <s v="Medium"/>
    <n v="1362"/>
    <n v="350"/>
    <n v="38136"/>
    <n v="438564"/>
    <n v="84444"/>
    <d v="2021-01-26T00:00:00"/>
    <x v="1"/>
    <s v="Q1"/>
    <x v="1"/>
    <x v="64"/>
    <s v="Carretera"/>
    <x v="1"/>
  </r>
  <r>
    <x v="1"/>
    <x v="144"/>
    <s v="PROD_ID_001"/>
    <s v="Medium"/>
    <n v="2501"/>
    <n v="15"/>
    <n v="3001.2"/>
    <n v="34513.800000000003"/>
    <n v="9503.8000000000029"/>
    <d v="2022-01-03T00:00:00"/>
    <x v="1"/>
    <s v="Q1"/>
    <x v="1"/>
    <x v="70"/>
    <s v="Montana"/>
    <x v="0"/>
  </r>
  <r>
    <x v="3"/>
    <x v="42"/>
    <s v="PROD_ID_001"/>
    <s v="Medium"/>
    <n v="708"/>
    <n v="20"/>
    <n v="1132.8"/>
    <n v="13027.2"/>
    <n v="5947.2000000000007"/>
    <d v="2021-11-27T00:00:00"/>
    <x v="6"/>
    <s v="Q4"/>
    <x v="1"/>
    <x v="42"/>
    <s v="Montana"/>
    <x v="2"/>
  </r>
  <r>
    <x v="3"/>
    <x v="36"/>
    <s v="PROD_ID_001"/>
    <s v="Medium"/>
    <n v="645"/>
    <n v="20"/>
    <n v="1032"/>
    <n v="11868"/>
    <n v="5418"/>
    <d v="2022-08-15T00:00:00"/>
    <x v="2"/>
    <s v="Q3"/>
    <x v="1"/>
    <x v="36"/>
    <s v="Montana"/>
    <x v="4"/>
  </r>
  <r>
    <x v="2"/>
    <x v="77"/>
    <s v="PROD_ID_001"/>
    <s v="Medium"/>
    <n v="1562"/>
    <n v="300"/>
    <n v="37488"/>
    <n v="431112"/>
    <n v="40612"/>
    <d v="2022-07-11T00:00:00"/>
    <x v="3"/>
    <s v="Q3"/>
    <x v="1"/>
    <x v="75"/>
    <s v="Montana"/>
    <x v="5"/>
  </r>
  <r>
    <x v="1"/>
    <x v="108"/>
    <s v="PROD_ID_001"/>
    <s v="Medium"/>
    <n v="711"/>
    <n v="15"/>
    <n v="853.2"/>
    <n v="9811.7999999999993"/>
    <n v="2701.7999999999993"/>
    <d v="2022-06-22T00:00:00"/>
    <x v="11"/>
    <s v="Q2"/>
    <x v="1"/>
    <x v="80"/>
    <s v="Montana"/>
    <x v="4"/>
  </r>
  <r>
    <x v="0"/>
    <x v="23"/>
    <s v="PROD_ID_002"/>
    <s v="Medium"/>
    <n v="1114"/>
    <n v="125"/>
    <n v="11140"/>
    <n v="128110"/>
    <n v="-5570"/>
    <d v="2022-11-09T00:00:00"/>
    <x v="6"/>
    <s v="Q4"/>
    <x v="1"/>
    <x v="23"/>
    <s v="Paseo"/>
    <x v="7"/>
  </r>
  <r>
    <x v="3"/>
    <x v="71"/>
    <s v="PROD_ID_002"/>
    <s v="Medium"/>
    <n v="1259"/>
    <n v="7"/>
    <n v="705.04"/>
    <n v="8107.96"/>
    <n v="1812.96"/>
    <d v="2022-07-12T00:00:00"/>
    <x v="3"/>
    <s v="Q3"/>
    <x v="1"/>
    <x v="69"/>
    <s v="Paseo"/>
    <x v="7"/>
  </r>
  <r>
    <x v="3"/>
    <x v="71"/>
    <s v="PROD_ID_002"/>
    <s v="Medium"/>
    <n v="1095"/>
    <n v="7"/>
    <n v="613.20000000000005"/>
    <n v="7051.8"/>
    <n v="1576.8000000000002"/>
    <d v="2021-09-28T00:00:00"/>
    <x v="0"/>
    <s v="Q3"/>
    <x v="1"/>
    <x v="69"/>
    <s v="Paseo"/>
    <x v="7"/>
  </r>
  <r>
    <x v="3"/>
    <x v="71"/>
    <s v="PROD_ID_002"/>
    <s v="Medium"/>
    <n v="1366"/>
    <n v="20"/>
    <n v="2185.6"/>
    <n v="25134.400000000001"/>
    <n v="11474.400000000001"/>
    <d v="2021-03-04T00:00:00"/>
    <x v="8"/>
    <s v="Q1"/>
    <x v="1"/>
    <x v="69"/>
    <s v="Paseo"/>
    <x v="7"/>
  </r>
  <r>
    <x v="2"/>
    <x v="2"/>
    <s v="PROD_ID_002"/>
    <s v="Medium"/>
    <n v="2460"/>
    <n v="300"/>
    <n v="59040"/>
    <n v="678960"/>
    <n v="63960"/>
    <d v="2021-07-27T00:00:00"/>
    <x v="3"/>
    <s v="Q3"/>
    <x v="1"/>
    <x v="2"/>
    <s v="Paseo"/>
    <x v="2"/>
  </r>
  <r>
    <x v="3"/>
    <x v="26"/>
    <s v="PROD_ID_002"/>
    <s v="Medium"/>
    <n v="678"/>
    <n v="7"/>
    <n v="379.68"/>
    <n v="4366.32"/>
    <n v="976.31999999999971"/>
    <d v="2021-03-21T00:00:00"/>
    <x v="8"/>
    <s v="Q1"/>
    <x v="1"/>
    <x v="26"/>
    <s v="Paseo"/>
    <x v="2"/>
  </r>
  <r>
    <x v="3"/>
    <x v="71"/>
    <s v="PROD_ID_002"/>
    <s v="Medium"/>
    <n v="1598"/>
    <n v="7"/>
    <n v="894.88"/>
    <n v="10291.120000000001"/>
    <n v="2301.1200000000008"/>
    <d v="2021-11-06T00:00:00"/>
    <x v="6"/>
    <s v="Q4"/>
    <x v="1"/>
    <x v="69"/>
    <s v="Paseo"/>
    <x v="7"/>
  </r>
  <r>
    <x v="3"/>
    <x v="71"/>
    <s v="PROD_ID_002"/>
    <s v="Medium"/>
    <n v="1934"/>
    <n v="20"/>
    <n v="3094.4"/>
    <n v="35585.599999999999"/>
    <n v="16245.599999999999"/>
    <d v="2021-02-02T00:00:00"/>
    <x v="4"/>
    <s v="Q1"/>
    <x v="1"/>
    <x v="69"/>
    <s v="Paseo"/>
    <x v="7"/>
  </r>
  <r>
    <x v="3"/>
    <x v="39"/>
    <s v="PROD_ID_002"/>
    <s v="Medium"/>
    <n v="2993"/>
    <n v="20"/>
    <n v="4788.8"/>
    <n v="55071.199999999997"/>
    <n v="25141.199999999997"/>
    <d v="2021-01-12T00:00:00"/>
    <x v="1"/>
    <s v="Q1"/>
    <x v="1"/>
    <x v="39"/>
    <s v="Paseo"/>
    <x v="7"/>
  </r>
  <r>
    <x v="3"/>
    <x v="39"/>
    <s v="PROD_ID_002"/>
    <s v="Medium"/>
    <n v="1362"/>
    <n v="350"/>
    <n v="38136"/>
    <n v="438564"/>
    <n v="84444"/>
    <d v="2022-09-12T00:00:00"/>
    <x v="0"/>
    <s v="Q3"/>
    <x v="1"/>
    <x v="39"/>
    <s v="Paseo"/>
    <x v="7"/>
  </r>
  <r>
    <x v="4"/>
    <x v="132"/>
    <s v="PROD_ID_003"/>
    <s v="Medium"/>
    <n v="598"/>
    <n v="12"/>
    <n v="574.08000000000004"/>
    <n v="6601.92"/>
    <n v="4807.92"/>
    <d v="2021-05-04T00:00:00"/>
    <x v="10"/>
    <s v="Q2"/>
    <x v="1"/>
    <x v="80"/>
    <s v="Velo"/>
    <x v="4"/>
  </r>
  <r>
    <x v="3"/>
    <x v="40"/>
    <s v="PROD_ID_003"/>
    <s v="Medium"/>
    <n v="2907"/>
    <n v="7"/>
    <n v="1627.92"/>
    <n v="18721.080000000002"/>
    <n v="4186.0800000000017"/>
    <d v="2022-08-17T00:00:00"/>
    <x v="2"/>
    <s v="Q3"/>
    <x v="1"/>
    <x v="40"/>
    <s v="Velo"/>
    <x v="0"/>
  </r>
  <r>
    <x v="3"/>
    <x v="27"/>
    <s v="PROD_ID_003"/>
    <s v="Medium"/>
    <n v="2338"/>
    <n v="7"/>
    <n v="1309.28"/>
    <n v="15056.72"/>
    <n v="3366.7199999999993"/>
    <d v="2021-07-05T00:00:00"/>
    <x v="3"/>
    <s v="Q3"/>
    <x v="1"/>
    <x v="27"/>
    <s v="Velo"/>
    <x v="3"/>
  </r>
  <r>
    <x v="2"/>
    <x v="96"/>
    <s v="PROD_ID_003"/>
    <s v="Medium"/>
    <n v="635"/>
    <n v="300"/>
    <n v="15240"/>
    <n v="175260"/>
    <n v="16510"/>
    <d v="2021-08-11T00:00:00"/>
    <x v="2"/>
    <s v="Q3"/>
    <x v="1"/>
    <x v="89"/>
    <s v="Velo"/>
    <x v="0"/>
  </r>
  <r>
    <x v="3"/>
    <x v="7"/>
    <s v="PROD_ID_004"/>
    <s v="Medium"/>
    <n v="574.5"/>
    <n v="350"/>
    <n v="16086"/>
    <n v="184989"/>
    <n v="35619"/>
    <d v="2022-02-22T00:00:00"/>
    <x v="4"/>
    <s v="Q1"/>
    <x v="1"/>
    <x v="7"/>
    <s v="VTT"/>
    <x v="7"/>
  </r>
  <r>
    <x v="3"/>
    <x v="55"/>
    <s v="PROD_ID_004"/>
    <s v="Medium"/>
    <n v="2338"/>
    <n v="7"/>
    <n v="1309.28"/>
    <n v="15056.72"/>
    <n v="3366.7199999999993"/>
    <d v="2022-10-13T00:00:00"/>
    <x v="9"/>
    <s v="Q4"/>
    <x v="1"/>
    <x v="55"/>
    <s v="VTT"/>
    <x v="7"/>
  </r>
  <r>
    <x v="3"/>
    <x v="7"/>
    <s v="PROD_ID_004"/>
    <s v="Medium"/>
    <n v="381"/>
    <n v="350"/>
    <n v="10668"/>
    <n v="122682"/>
    <n v="23622"/>
    <d v="2022-03-20T00:00:00"/>
    <x v="8"/>
    <s v="Q1"/>
    <x v="1"/>
    <x v="7"/>
    <s v="VTT"/>
    <x v="7"/>
  </r>
  <r>
    <x v="3"/>
    <x v="55"/>
    <s v="PROD_ID_004"/>
    <s v="Medium"/>
    <n v="422"/>
    <n v="350"/>
    <n v="11816"/>
    <n v="135884"/>
    <n v="26164"/>
    <d v="2022-08-06T00:00:00"/>
    <x v="2"/>
    <s v="Q3"/>
    <x v="1"/>
    <x v="55"/>
    <s v="VTT"/>
    <x v="7"/>
  </r>
  <r>
    <x v="2"/>
    <x v="62"/>
    <s v="PROD_ID_004"/>
    <s v="Medium"/>
    <n v="2134"/>
    <n v="300"/>
    <n v="51216"/>
    <n v="588984"/>
    <n v="55484"/>
    <d v="2022-03-20T00:00:00"/>
    <x v="8"/>
    <s v="Q1"/>
    <x v="1"/>
    <x v="61"/>
    <s v="VTT"/>
    <x v="6"/>
  </r>
  <r>
    <x v="3"/>
    <x v="46"/>
    <s v="PROD_ID_006"/>
    <s v="Medium"/>
    <n v="708"/>
    <n v="20"/>
    <n v="1132.8"/>
    <n v="13027.2"/>
    <n v="5947.2000000000007"/>
    <d v="2021-04-19T00:00:00"/>
    <x v="5"/>
    <s v="Q2"/>
    <x v="1"/>
    <x v="46"/>
    <s v="Amarilla"/>
    <x v="6"/>
  </r>
  <r>
    <x v="3"/>
    <x v="63"/>
    <s v="PROD_ID_006"/>
    <s v="Medium"/>
    <n v="2907"/>
    <n v="7"/>
    <n v="1627.92"/>
    <n v="18721.080000000002"/>
    <n v="4186.0800000000017"/>
    <d v="2022-04-25T00:00:00"/>
    <x v="5"/>
    <s v="Q2"/>
    <x v="1"/>
    <x v="62"/>
    <s v="Amarilla"/>
    <x v="7"/>
  </r>
  <r>
    <x v="3"/>
    <x v="34"/>
    <s v="PROD_ID_006"/>
    <s v="Medium"/>
    <n v="1366"/>
    <n v="20"/>
    <n v="2185.6"/>
    <n v="25134.400000000001"/>
    <n v="11474.400000000001"/>
    <d v="2022-10-08T00:00:00"/>
    <x v="9"/>
    <s v="Q4"/>
    <x v="1"/>
    <x v="34"/>
    <s v="Amarilla"/>
    <x v="2"/>
  </r>
  <r>
    <x v="2"/>
    <x v="126"/>
    <s v="PROD_ID_006"/>
    <s v="Medium"/>
    <n v="2460"/>
    <n v="300"/>
    <n v="59040"/>
    <n v="678960"/>
    <n v="63960"/>
    <d v="2022-06-15T00:00:00"/>
    <x v="11"/>
    <s v="Q2"/>
    <x v="1"/>
    <x v="91"/>
    <s v="Amarilla"/>
    <x v="6"/>
  </r>
  <r>
    <x v="3"/>
    <x v="34"/>
    <s v="PROD_ID_006"/>
    <s v="Medium"/>
    <n v="1520"/>
    <n v="20"/>
    <n v="2432"/>
    <n v="27968"/>
    <n v="12768"/>
    <d v="2022-10-10T00:00:00"/>
    <x v="9"/>
    <s v="Q4"/>
    <x v="1"/>
    <x v="34"/>
    <s v="Amarilla"/>
    <x v="2"/>
  </r>
  <r>
    <x v="1"/>
    <x v="81"/>
    <s v="PROD_ID_006"/>
    <s v="Medium"/>
    <n v="711"/>
    <n v="15"/>
    <n v="853.2"/>
    <n v="9811.7999999999993"/>
    <n v="2701.7999999999993"/>
    <d v="2022-07-27T00:00:00"/>
    <x v="3"/>
    <s v="Q3"/>
    <x v="1"/>
    <x v="77"/>
    <s v="Amarilla"/>
    <x v="1"/>
  </r>
  <r>
    <x v="2"/>
    <x v="126"/>
    <s v="PROD_ID_006"/>
    <s v="Medium"/>
    <n v="635"/>
    <n v="300"/>
    <n v="15240"/>
    <n v="175260"/>
    <n v="16510"/>
    <d v="2022-06-27T00:00:00"/>
    <x v="11"/>
    <s v="Q2"/>
    <x v="1"/>
    <x v="91"/>
    <s v="Amarilla"/>
    <x v="6"/>
  </r>
  <r>
    <x v="3"/>
    <x v="32"/>
    <s v="PROD_ID_004"/>
    <s v="Medium"/>
    <n v="436.5"/>
    <n v="20"/>
    <n v="698.40000000000009"/>
    <n v="8031.5999999999995"/>
    <n v="3666.5999999999995"/>
    <d v="2022-05-12T00:00:00"/>
    <x v="10"/>
    <s v="Q2"/>
    <x v="1"/>
    <x v="32"/>
    <s v="VTT"/>
    <x v="0"/>
  </r>
  <r>
    <x v="2"/>
    <x v="145"/>
    <s v="PROD_ID_005"/>
    <s v="Medium"/>
    <n v="1094"/>
    <n v="300"/>
    <n v="29538"/>
    <n v="298662"/>
    <n v="25162"/>
    <d v="2022-12-20T00:00:00"/>
    <x v="7"/>
    <s v="Q4"/>
    <x v="1"/>
    <x v="71"/>
    <s v="Carretera"/>
    <x v="1"/>
  </r>
  <r>
    <x v="2"/>
    <x v="73"/>
    <s v="PROD_ID_001"/>
    <s v="Medium"/>
    <n v="3802.5"/>
    <n v="300"/>
    <n v="102667.5"/>
    <n v="1038082.5"/>
    <n v="87457.5"/>
    <d v="2022-12-06T00:00:00"/>
    <x v="7"/>
    <s v="Q4"/>
    <x v="1"/>
    <x v="71"/>
    <s v="Montana"/>
    <x v="1"/>
  </r>
  <r>
    <x v="3"/>
    <x v="58"/>
    <s v="PROD_ID_001"/>
    <s v="Medium"/>
    <n v="1666"/>
    <n v="350"/>
    <n v="52479"/>
    <n v="530621"/>
    <n v="97461"/>
    <d v="2021-09-01T00:00:00"/>
    <x v="0"/>
    <s v="Q3"/>
    <x v="1"/>
    <x v="58"/>
    <s v="Montana"/>
    <x v="2"/>
  </r>
  <r>
    <x v="4"/>
    <x v="109"/>
    <s v="PROD_ID_001"/>
    <s v="Medium"/>
    <n v="2321"/>
    <n v="12"/>
    <n v="2506.6799999999998"/>
    <n v="25345.32"/>
    <n v="18382.32"/>
    <d v="2021-06-21T00:00:00"/>
    <x v="11"/>
    <s v="Q2"/>
    <x v="1"/>
    <x v="49"/>
    <s v="Montana"/>
    <x v="5"/>
  </r>
  <r>
    <x v="0"/>
    <x v="12"/>
    <s v="PROD_ID_001"/>
    <s v="Medium"/>
    <n v="2797"/>
    <n v="125"/>
    <n v="31466.25"/>
    <n v="318158.75"/>
    <n v="-17481.25"/>
    <d v="2021-10-24T00:00:00"/>
    <x v="9"/>
    <s v="Q4"/>
    <x v="1"/>
    <x v="12"/>
    <s v="Montana"/>
    <x v="4"/>
  </r>
  <r>
    <x v="2"/>
    <x v="2"/>
    <s v="PROD_ID_002"/>
    <s v="Medium"/>
    <n v="2565"/>
    <n v="300"/>
    <n v="69255"/>
    <n v="700245"/>
    <n v="58995"/>
    <d v="2021-07-29T00:00:00"/>
    <x v="3"/>
    <s v="Q3"/>
    <x v="1"/>
    <x v="2"/>
    <s v="Paseo"/>
    <x v="2"/>
  </r>
  <r>
    <x v="3"/>
    <x v="39"/>
    <s v="PROD_ID_002"/>
    <s v="Medium"/>
    <n v="2417"/>
    <n v="350"/>
    <n v="76135.5"/>
    <n v="769814.5"/>
    <n v="141394.5"/>
    <d v="2022-04-24T00:00:00"/>
    <x v="5"/>
    <s v="Q2"/>
    <x v="1"/>
    <x v="39"/>
    <s v="Paseo"/>
    <x v="7"/>
  </r>
  <r>
    <x v="1"/>
    <x v="25"/>
    <s v="PROD_ID_002"/>
    <s v="Medium"/>
    <n v="3675"/>
    <n v="15"/>
    <n v="4961.25"/>
    <n v="50163.75"/>
    <n v="13413.75"/>
    <d v="2021-10-28T00:00:00"/>
    <x v="9"/>
    <s v="Q4"/>
    <x v="1"/>
    <x v="25"/>
    <s v="Paseo"/>
    <x v="1"/>
  </r>
  <r>
    <x v="2"/>
    <x v="69"/>
    <s v="PROD_ID_002"/>
    <s v="Medium"/>
    <n v="1094"/>
    <n v="300"/>
    <n v="29538"/>
    <n v="298662"/>
    <n v="25162"/>
    <d v="2021-07-01T00:00:00"/>
    <x v="3"/>
    <s v="Q3"/>
    <x v="1"/>
    <x v="67"/>
    <s v="Paseo"/>
    <x v="5"/>
  </r>
  <r>
    <x v="1"/>
    <x v="1"/>
    <s v="PROD_ID_002"/>
    <s v="Medium"/>
    <n v="1227"/>
    <n v="15"/>
    <n v="1656.45"/>
    <n v="16748.55"/>
    <n v="4478.5499999999993"/>
    <d v="2021-10-21T00:00:00"/>
    <x v="9"/>
    <s v="Q4"/>
    <x v="1"/>
    <x v="1"/>
    <s v="Paseo"/>
    <x v="1"/>
  </r>
  <r>
    <x v="2"/>
    <x v="120"/>
    <s v="PROD_ID_002"/>
    <s v="Medium"/>
    <n v="1324"/>
    <n v="300"/>
    <n v="35748"/>
    <n v="361452"/>
    <n v="30452"/>
    <d v="2021-06-04T00:00:00"/>
    <x v="11"/>
    <s v="Q2"/>
    <x v="1"/>
    <x v="70"/>
    <s v="Paseo"/>
    <x v="0"/>
  </r>
  <r>
    <x v="0"/>
    <x v="114"/>
    <s v="PROD_ID_002"/>
    <s v="Medium"/>
    <n v="2797"/>
    <n v="125"/>
    <n v="31466.25"/>
    <n v="318158.75"/>
    <n v="-17481.25"/>
    <d v="2021-07-26T00:00:00"/>
    <x v="3"/>
    <s v="Q3"/>
    <x v="1"/>
    <x v="84"/>
    <s v="Paseo"/>
    <x v="2"/>
  </r>
  <r>
    <x v="1"/>
    <x v="90"/>
    <s v="PROD_ID_003"/>
    <s v="Medium"/>
    <n v="245"/>
    <n v="15"/>
    <n v="330.75"/>
    <n v="3344.25"/>
    <n v="894.25"/>
    <d v="2022-12-29T00:00:00"/>
    <x v="7"/>
    <s v="Q4"/>
    <x v="1"/>
    <x v="84"/>
    <s v="Velo"/>
    <x v="2"/>
  </r>
  <r>
    <x v="2"/>
    <x v="100"/>
    <s v="PROD_ID_003"/>
    <s v="Medium"/>
    <n v="3793.5"/>
    <n v="300"/>
    <n v="102424.5"/>
    <n v="1035625.5"/>
    <n v="87250.5"/>
    <d v="2022-05-07T00:00:00"/>
    <x v="10"/>
    <s v="Q2"/>
    <x v="1"/>
    <x v="52"/>
    <s v="Velo"/>
    <x v="4"/>
  </r>
  <r>
    <x v="3"/>
    <x v="27"/>
    <s v="PROD_ID_003"/>
    <s v="Medium"/>
    <n v="1307"/>
    <n v="350"/>
    <n v="41170.5"/>
    <n v="416279.5"/>
    <n v="76459.5"/>
    <d v="2021-02-21T00:00:00"/>
    <x v="4"/>
    <s v="Q1"/>
    <x v="1"/>
    <x v="27"/>
    <s v="Velo"/>
    <x v="3"/>
  </r>
  <r>
    <x v="0"/>
    <x v="6"/>
    <s v="PROD_ID_003"/>
    <s v="Medium"/>
    <n v="567"/>
    <n v="125"/>
    <n v="6378.75"/>
    <n v="64496.25"/>
    <n v="-3543.75"/>
    <d v="2021-11-24T00:00:00"/>
    <x v="6"/>
    <s v="Q4"/>
    <x v="1"/>
    <x v="6"/>
    <s v="Velo"/>
    <x v="6"/>
  </r>
  <r>
    <x v="0"/>
    <x v="29"/>
    <s v="PROD_ID_003"/>
    <s v="Medium"/>
    <n v="2110"/>
    <n v="125"/>
    <n v="23737.5"/>
    <n v="240012.5"/>
    <n v="-13187.5"/>
    <d v="2021-01-22T00:00:00"/>
    <x v="1"/>
    <s v="Q1"/>
    <x v="1"/>
    <x v="29"/>
    <s v="Velo"/>
    <x v="5"/>
  </r>
  <r>
    <x v="3"/>
    <x v="15"/>
    <s v="PROD_ID_003"/>
    <s v="Medium"/>
    <n v="1269"/>
    <n v="350"/>
    <n v="39973.5"/>
    <n v="404176.5"/>
    <n v="74236.5"/>
    <d v="2022-06-01T00:00:00"/>
    <x v="11"/>
    <s v="Q2"/>
    <x v="1"/>
    <x v="15"/>
    <s v="Velo"/>
    <x v="7"/>
  </r>
  <r>
    <x v="4"/>
    <x v="146"/>
    <s v="PROD_ID_004"/>
    <s v="Medium"/>
    <n v="1956"/>
    <n v="12"/>
    <n v="2112.48"/>
    <n v="21359.52"/>
    <n v="15491.52"/>
    <d v="2021-11-22T00:00:00"/>
    <x v="6"/>
    <s v="Q4"/>
    <x v="1"/>
    <x v="72"/>
    <s v="VTT"/>
    <x v="2"/>
  </r>
  <r>
    <x v="2"/>
    <x v="31"/>
    <s v="PROD_ID_004"/>
    <s v="Medium"/>
    <n v="2659"/>
    <n v="300"/>
    <n v="71793"/>
    <n v="725907"/>
    <n v="61157"/>
    <d v="2022-12-26T00:00:00"/>
    <x v="7"/>
    <s v="Q4"/>
    <x v="1"/>
    <x v="31"/>
    <s v="VTT"/>
    <x v="7"/>
  </r>
  <r>
    <x v="3"/>
    <x v="32"/>
    <s v="PROD_ID_004"/>
    <s v="Medium"/>
    <n v="1351.5"/>
    <n v="350"/>
    <n v="42572.25"/>
    <n v="430452.75"/>
    <n v="79062.75"/>
    <d v="2022-11-21T00:00:00"/>
    <x v="6"/>
    <s v="Q4"/>
    <x v="1"/>
    <x v="32"/>
    <s v="VTT"/>
    <x v="0"/>
  </r>
  <r>
    <x v="4"/>
    <x v="66"/>
    <s v="PROD_ID_004"/>
    <s v="Medium"/>
    <n v="880"/>
    <n v="12"/>
    <n v="950.4"/>
    <n v="9609.6"/>
    <n v="6969.6"/>
    <d v="2021-11-07T00:00:00"/>
    <x v="6"/>
    <s v="Q4"/>
    <x v="1"/>
    <x v="65"/>
    <s v="VTT"/>
    <x v="2"/>
  </r>
  <r>
    <x v="2"/>
    <x v="74"/>
    <s v="PROD_ID_004"/>
    <s v="Medium"/>
    <n v="1867"/>
    <n v="300"/>
    <n v="50409"/>
    <n v="509691"/>
    <n v="42941"/>
    <d v="2021-01-24T00:00:00"/>
    <x v="1"/>
    <s v="Q1"/>
    <x v="1"/>
    <x v="72"/>
    <s v="VTT"/>
    <x v="2"/>
  </r>
  <r>
    <x v="1"/>
    <x v="86"/>
    <s v="PROD_ID_004"/>
    <s v="Medium"/>
    <n v="1227"/>
    <n v="15"/>
    <n v="1656.45"/>
    <n v="16748.55"/>
    <n v="4478.5499999999993"/>
    <d v="2022-10-25T00:00:00"/>
    <x v="9"/>
    <s v="Q4"/>
    <x v="1"/>
    <x v="50"/>
    <s v="VTT"/>
    <x v="6"/>
  </r>
  <r>
    <x v="0"/>
    <x v="124"/>
    <s v="PROD_ID_004"/>
    <s v="Medium"/>
    <n v="877"/>
    <n v="125"/>
    <n v="9866.25"/>
    <n v="99758.75"/>
    <n v="-5481.25"/>
    <d v="2022-10-25T00:00:00"/>
    <x v="9"/>
    <s v="Q4"/>
    <x v="1"/>
    <x v="52"/>
    <s v="VTT"/>
    <x v="4"/>
  </r>
  <r>
    <x v="3"/>
    <x v="63"/>
    <s v="PROD_ID_006"/>
    <s v="Medium"/>
    <n v="2071"/>
    <n v="350"/>
    <n v="65236.5"/>
    <n v="659613.5"/>
    <n v="121153.5"/>
    <d v="2022-08-18T00:00:00"/>
    <x v="2"/>
    <s v="Q3"/>
    <x v="1"/>
    <x v="62"/>
    <s v="Amarilla"/>
    <x v="7"/>
  </r>
  <r>
    <x v="3"/>
    <x v="46"/>
    <s v="PROD_ID_006"/>
    <s v="Medium"/>
    <n v="1269"/>
    <n v="350"/>
    <n v="39973.5"/>
    <n v="404176.5"/>
    <n v="74236.5"/>
    <d v="2021-04-06T00:00:00"/>
    <x v="5"/>
    <s v="Q2"/>
    <x v="1"/>
    <x v="46"/>
    <s v="Amarilla"/>
    <x v="6"/>
  </r>
  <r>
    <x v="3"/>
    <x v="92"/>
    <s v="PROD_ID_006"/>
    <s v="Medium"/>
    <n v="1694"/>
    <n v="20"/>
    <n v="3049.2"/>
    <n v="30830.799999999999"/>
    <n v="13890.8"/>
    <d v="2021-04-18T00:00:00"/>
    <x v="5"/>
    <s v="Q2"/>
    <x v="1"/>
    <x v="56"/>
    <s v="Amarilla"/>
    <x v="4"/>
  </r>
  <r>
    <x v="3"/>
    <x v="47"/>
    <s v="PROD_ID_005"/>
    <s v="Medium"/>
    <n v="663"/>
    <n v="20"/>
    <n v="1193.4000000000001"/>
    <n v="12066.6"/>
    <n v="5436.6"/>
    <d v="2021-10-29T00:00:00"/>
    <x v="9"/>
    <s v="Q4"/>
    <x v="1"/>
    <x v="47"/>
    <s v="Carretera"/>
    <x v="7"/>
  </r>
  <r>
    <x v="3"/>
    <x v="41"/>
    <s v="PROD_ID_005"/>
    <s v="Medium"/>
    <n v="819"/>
    <n v="7"/>
    <n v="515.97"/>
    <n v="5217.03"/>
    <n v="1122.03"/>
    <d v="2021-09-13T00:00:00"/>
    <x v="0"/>
    <s v="Q3"/>
    <x v="1"/>
    <x v="41"/>
    <s v="Carretera"/>
    <x v="1"/>
  </r>
  <r>
    <x v="4"/>
    <x v="9"/>
    <s v="PROD_ID_005"/>
    <s v="Medium"/>
    <n v="1580"/>
    <n v="12"/>
    <n v="1706.4"/>
    <n v="17253.599999999999"/>
    <n v="12513.599999999999"/>
    <d v="2022-01-21T00:00:00"/>
    <x v="1"/>
    <s v="Q1"/>
    <x v="1"/>
    <x v="9"/>
    <s v="Carretera"/>
    <x v="1"/>
  </r>
  <r>
    <x v="3"/>
    <x v="65"/>
    <s v="PROD_ID_005"/>
    <s v="Medium"/>
    <n v="521"/>
    <n v="7"/>
    <n v="328.23"/>
    <n v="3318.77"/>
    <n v="713.77"/>
    <d v="2021-10-26T00:00:00"/>
    <x v="9"/>
    <s v="Q4"/>
    <x v="1"/>
    <x v="64"/>
    <s v="Carretera"/>
    <x v="1"/>
  </r>
  <r>
    <x v="3"/>
    <x v="26"/>
    <s v="PROD_ID_002"/>
    <s v="Medium"/>
    <n v="973"/>
    <n v="20"/>
    <n v="1751.4"/>
    <n v="17708.599999999999"/>
    <n v="7978.5999999999985"/>
    <d v="2021-01-06T00:00:00"/>
    <x v="1"/>
    <s v="Q1"/>
    <x v="1"/>
    <x v="26"/>
    <s v="Paseo"/>
    <x v="2"/>
  </r>
  <r>
    <x v="3"/>
    <x v="39"/>
    <s v="PROD_ID_002"/>
    <s v="Medium"/>
    <n v="1038"/>
    <n v="20"/>
    <n v="1868.4"/>
    <n v="18891.599999999999"/>
    <n v="8511.5999999999985"/>
    <d v="2022-08-05T00:00:00"/>
    <x v="2"/>
    <s v="Q3"/>
    <x v="1"/>
    <x v="39"/>
    <s v="Paseo"/>
    <x v="7"/>
  </r>
  <r>
    <x v="3"/>
    <x v="71"/>
    <s v="PROD_ID_002"/>
    <s v="Medium"/>
    <n v="360"/>
    <n v="7"/>
    <n v="226.8"/>
    <n v="2293.1999999999998"/>
    <n v="493.19999999999982"/>
    <d v="2021-05-15T00:00:00"/>
    <x v="10"/>
    <s v="Q2"/>
    <x v="1"/>
    <x v="69"/>
    <s v="Paseo"/>
    <x v="7"/>
  </r>
  <r>
    <x v="4"/>
    <x v="122"/>
    <s v="PROD_ID_003"/>
    <s v="Medium"/>
    <n v="1967"/>
    <n v="12"/>
    <n v="2124.36"/>
    <n v="21479.64"/>
    <n v="15578.64"/>
    <d v="2021-03-02T00:00:00"/>
    <x v="8"/>
    <s v="Q1"/>
    <x v="1"/>
    <x v="72"/>
    <s v="Velo"/>
    <x v="2"/>
  </r>
  <r>
    <x v="1"/>
    <x v="90"/>
    <s v="PROD_ID_003"/>
    <s v="Medium"/>
    <n v="2628"/>
    <n v="15"/>
    <n v="3547.8"/>
    <n v="35872.199999999997"/>
    <n v="9592.1999999999971"/>
    <d v="2021-12-21T00:00:00"/>
    <x v="7"/>
    <s v="Q4"/>
    <x v="1"/>
    <x v="84"/>
    <s v="Velo"/>
    <x v="2"/>
  </r>
  <r>
    <x v="3"/>
    <x v="55"/>
    <s v="PROD_ID_004"/>
    <s v="Medium"/>
    <n v="360"/>
    <n v="7"/>
    <n v="226.8"/>
    <n v="2293.1999999999998"/>
    <n v="493.19999999999982"/>
    <d v="2022-12-04T00:00:00"/>
    <x v="7"/>
    <s v="Q4"/>
    <x v="1"/>
    <x v="55"/>
    <s v="VTT"/>
    <x v="7"/>
  </r>
  <r>
    <x v="3"/>
    <x v="33"/>
    <s v="PROD_ID_004"/>
    <s v="Medium"/>
    <n v="521"/>
    <n v="7"/>
    <n v="328.23"/>
    <n v="3318.77"/>
    <n v="713.77"/>
    <d v="2022-02-13T00:00:00"/>
    <x v="4"/>
    <s v="Q1"/>
    <x v="1"/>
    <x v="33"/>
    <s v="VTT"/>
    <x v="1"/>
  </r>
  <r>
    <x v="3"/>
    <x v="92"/>
    <s v="PROD_ID_006"/>
    <s v="Medium"/>
    <n v="1038"/>
    <n v="20"/>
    <n v="1868.4"/>
    <n v="18891.599999999999"/>
    <n v="8511.5999999999985"/>
    <d v="2022-06-25T00:00:00"/>
    <x v="11"/>
    <s v="Q2"/>
    <x v="1"/>
    <x v="56"/>
    <s v="Amarilla"/>
    <x v="4"/>
  </r>
  <r>
    <x v="1"/>
    <x v="102"/>
    <s v="PROD_ID_006"/>
    <s v="Medium"/>
    <n v="1630.5"/>
    <n v="15"/>
    <n v="2201.1750000000002"/>
    <n v="22256.324999999997"/>
    <n v="5951.3249999999989"/>
    <d v="2021-05-09T00:00:00"/>
    <x v="10"/>
    <s v="Q2"/>
    <x v="1"/>
    <x v="91"/>
    <s v="Amarilla"/>
    <x v="6"/>
  </r>
  <r>
    <x v="3"/>
    <x v="98"/>
    <s v="PROD_ID_001"/>
    <s v="High"/>
    <n v="2328"/>
    <n v="7"/>
    <n v="1629.6"/>
    <n v="14666.4"/>
    <n v="3026.3999999999996"/>
    <d v="2021-10-22T00:00:00"/>
    <x v="9"/>
    <s v="Q4"/>
    <x v="1"/>
    <x v="72"/>
    <s v="Montana"/>
    <x v="2"/>
  </r>
  <r>
    <x v="0"/>
    <x v="8"/>
    <s v="PROD_ID_005"/>
    <s v="High"/>
    <n v="3445.5"/>
    <n v="125"/>
    <n v="43068.75"/>
    <n v="387618.75"/>
    <n v="-25841.25"/>
    <d v="2021-10-25T00:00:00"/>
    <x v="9"/>
    <s v="Q4"/>
    <x v="1"/>
    <x v="8"/>
    <s v="Carretera"/>
    <x v="0"/>
  </r>
  <r>
    <x v="3"/>
    <x v="98"/>
    <s v="PROD_ID_001"/>
    <s v="High"/>
    <n v="2313"/>
    <n v="350"/>
    <n v="80955"/>
    <n v="728595"/>
    <n v="127215"/>
    <d v="2022-06-07T00:00:00"/>
    <x v="11"/>
    <s v="Q2"/>
    <x v="1"/>
    <x v="72"/>
    <s v="Montana"/>
    <x v="2"/>
  </r>
  <r>
    <x v="1"/>
    <x v="144"/>
    <s v="PROD_ID_001"/>
    <s v="High"/>
    <n v="2072"/>
    <n v="15"/>
    <n v="3108"/>
    <n v="27972"/>
    <n v="7252"/>
    <d v="2021-04-23T00:00:00"/>
    <x v="5"/>
    <s v="Q2"/>
    <x v="1"/>
    <x v="70"/>
    <s v="Montana"/>
    <x v="0"/>
  </r>
  <r>
    <x v="3"/>
    <x v="51"/>
    <s v="PROD_ID_002"/>
    <s v="High"/>
    <n v="1954"/>
    <n v="20"/>
    <n v="3908"/>
    <n v="35172"/>
    <n v="15632"/>
    <d v="2021-01-16T00:00:00"/>
    <x v="1"/>
    <s v="Q1"/>
    <x v="1"/>
    <x v="51"/>
    <s v="Paseo"/>
    <x v="3"/>
  </r>
  <r>
    <x v="2"/>
    <x v="2"/>
    <s v="PROD_ID_002"/>
    <s v="High"/>
    <n v="591"/>
    <n v="300"/>
    <n v="17730"/>
    <n v="159570"/>
    <n v="11820"/>
    <d v="2022-04-22T00:00:00"/>
    <x v="5"/>
    <s v="Q2"/>
    <x v="1"/>
    <x v="2"/>
    <s v="Paseo"/>
    <x v="2"/>
  </r>
  <r>
    <x v="3"/>
    <x v="71"/>
    <s v="PROD_ID_002"/>
    <s v="High"/>
    <n v="241"/>
    <n v="20"/>
    <n v="482"/>
    <n v="4338"/>
    <n v="1928"/>
    <d v="2022-10-24T00:00:00"/>
    <x v="9"/>
    <s v="Q4"/>
    <x v="1"/>
    <x v="69"/>
    <s v="Paseo"/>
    <x v="7"/>
  </r>
  <r>
    <x v="1"/>
    <x v="95"/>
    <s v="PROD_ID_003"/>
    <s v="High"/>
    <n v="681"/>
    <n v="15"/>
    <n v="1021.5"/>
    <n v="9193.5"/>
    <n v="2383.5"/>
    <d v="2021-05-19T00:00:00"/>
    <x v="10"/>
    <s v="Q2"/>
    <x v="1"/>
    <x v="88"/>
    <s v="Velo"/>
    <x v="7"/>
  </r>
  <r>
    <x v="1"/>
    <x v="95"/>
    <s v="PROD_ID_003"/>
    <s v="High"/>
    <n v="510"/>
    <n v="15"/>
    <n v="765"/>
    <n v="6885"/>
    <n v="1785"/>
    <d v="2022-02-05T00:00:00"/>
    <x v="4"/>
    <s v="Q1"/>
    <x v="1"/>
    <x v="88"/>
    <s v="Velo"/>
    <x v="7"/>
  </r>
  <r>
    <x v="1"/>
    <x v="134"/>
    <s v="PROD_ID_003"/>
    <s v="High"/>
    <n v="790"/>
    <n v="15"/>
    <n v="1185"/>
    <n v="10665"/>
    <n v="2765"/>
    <d v="2021-12-07T00:00:00"/>
    <x v="7"/>
    <s v="Q4"/>
    <x v="1"/>
    <x v="50"/>
    <s v="Velo"/>
    <x v="6"/>
  </r>
  <r>
    <x v="3"/>
    <x v="53"/>
    <s v="PROD_ID_003"/>
    <s v="High"/>
    <n v="639"/>
    <n v="350"/>
    <n v="22365"/>
    <n v="201285"/>
    <n v="35145"/>
    <d v="2021-06-14T00:00:00"/>
    <x v="11"/>
    <s v="Q2"/>
    <x v="1"/>
    <x v="53"/>
    <s v="Velo"/>
    <x v="5"/>
  </r>
  <r>
    <x v="0"/>
    <x v="14"/>
    <s v="PROD_ID_003"/>
    <s v="High"/>
    <n v="1596"/>
    <n v="125"/>
    <n v="19950"/>
    <n v="179550"/>
    <n v="-11970"/>
    <d v="2022-05-10T00:00:00"/>
    <x v="10"/>
    <s v="Q2"/>
    <x v="1"/>
    <x v="14"/>
    <s v="Velo"/>
    <x v="6"/>
  </r>
  <r>
    <x v="3"/>
    <x v="27"/>
    <s v="PROD_ID_003"/>
    <s v="High"/>
    <n v="241"/>
    <n v="20"/>
    <n v="482"/>
    <n v="4338"/>
    <n v="1928"/>
    <d v="2022-06-21T00:00:00"/>
    <x v="11"/>
    <s v="Q2"/>
    <x v="1"/>
    <x v="27"/>
    <s v="Velo"/>
    <x v="3"/>
  </r>
  <r>
    <x v="3"/>
    <x v="27"/>
    <s v="PROD_ID_003"/>
    <s v="High"/>
    <n v="2665"/>
    <n v="7"/>
    <n v="1865.5"/>
    <n v="16789.5"/>
    <n v="3464.5"/>
    <d v="2022-10-07T00:00:00"/>
    <x v="9"/>
    <s v="Q4"/>
    <x v="1"/>
    <x v="27"/>
    <s v="Velo"/>
    <x v="3"/>
  </r>
  <r>
    <x v="2"/>
    <x v="60"/>
    <s v="PROD_ID_003"/>
    <s v="High"/>
    <n v="853"/>
    <n v="300"/>
    <n v="25590"/>
    <n v="230310"/>
    <n v="17060"/>
    <d v="2022-01-17T00:00:00"/>
    <x v="1"/>
    <s v="Q1"/>
    <x v="1"/>
    <x v="59"/>
    <s v="Velo"/>
    <x v="4"/>
  </r>
  <r>
    <x v="0"/>
    <x v="124"/>
    <s v="PROD_ID_004"/>
    <s v="High"/>
    <n v="341"/>
    <n v="125"/>
    <n v="4262.5"/>
    <n v="38362.5"/>
    <n v="-2557.5"/>
    <d v="2022-01-30T00:00:00"/>
    <x v="1"/>
    <s v="Q1"/>
    <x v="1"/>
    <x v="52"/>
    <s v="VTT"/>
    <x v="4"/>
  </r>
  <r>
    <x v="1"/>
    <x v="44"/>
    <s v="PROD_ID_004"/>
    <s v="High"/>
    <n v="641"/>
    <n v="15"/>
    <n v="961.5"/>
    <n v="8653.5"/>
    <n v="2243.5"/>
    <d v="2021-08-30T00:00:00"/>
    <x v="2"/>
    <s v="Q3"/>
    <x v="1"/>
    <x v="44"/>
    <s v="VTT"/>
    <x v="4"/>
  </r>
  <r>
    <x v="3"/>
    <x v="32"/>
    <s v="PROD_ID_004"/>
    <s v="High"/>
    <n v="2807"/>
    <n v="350"/>
    <n v="98245"/>
    <n v="884205"/>
    <n v="154385"/>
    <d v="2021-09-04T00:00:00"/>
    <x v="0"/>
    <s v="Q3"/>
    <x v="1"/>
    <x v="32"/>
    <s v="VTT"/>
    <x v="0"/>
  </r>
  <r>
    <x v="2"/>
    <x v="16"/>
    <s v="PROD_ID_004"/>
    <s v="High"/>
    <n v="432"/>
    <n v="300"/>
    <n v="12960"/>
    <n v="116640"/>
    <n v="8640"/>
    <d v="2022-01-20T00:00:00"/>
    <x v="1"/>
    <s v="Q1"/>
    <x v="1"/>
    <x v="16"/>
    <s v="VTT"/>
    <x v="0"/>
  </r>
  <r>
    <x v="0"/>
    <x v="104"/>
    <s v="PROD_ID_004"/>
    <s v="High"/>
    <n v="2529"/>
    <n v="125"/>
    <n v="31612.5"/>
    <n v="284512.5"/>
    <n v="-18967.5"/>
    <d v="2021-08-18T00:00:00"/>
    <x v="2"/>
    <s v="Q3"/>
    <x v="1"/>
    <x v="38"/>
    <s v="VTT"/>
    <x v="0"/>
  </r>
  <r>
    <x v="0"/>
    <x v="147"/>
    <s v="PROD_ID_006"/>
    <s v="High"/>
    <n v="579"/>
    <n v="125"/>
    <n v="7237.5"/>
    <n v="65137.5"/>
    <n v="-4342.5"/>
    <d v="2022-12-08T00:00:00"/>
    <x v="7"/>
    <s v="Q4"/>
    <x v="1"/>
    <x v="73"/>
    <s v="Amarilla"/>
    <x v="3"/>
  </r>
  <r>
    <x v="3"/>
    <x v="46"/>
    <s v="PROD_ID_006"/>
    <s v="High"/>
    <n v="2240"/>
    <n v="350"/>
    <n v="78400"/>
    <n v="705600"/>
    <n v="123200"/>
    <d v="2022-11-13T00:00:00"/>
    <x v="6"/>
    <s v="Q4"/>
    <x v="1"/>
    <x v="46"/>
    <s v="Amarilla"/>
    <x v="6"/>
  </r>
  <r>
    <x v="2"/>
    <x v="143"/>
    <s v="PROD_ID_006"/>
    <s v="High"/>
    <n v="2993"/>
    <n v="300"/>
    <n v="89790"/>
    <n v="808110"/>
    <n v="59860"/>
    <d v="2022-08-09T00:00:00"/>
    <x v="2"/>
    <s v="Q3"/>
    <x v="1"/>
    <x v="69"/>
    <s v="Amarilla"/>
    <x v="7"/>
  </r>
  <r>
    <x v="4"/>
    <x v="94"/>
    <s v="PROD_ID_006"/>
    <s v="High"/>
    <n v="3520.5"/>
    <n v="12"/>
    <n v="4224.6000000000004"/>
    <n v="38021.399999999994"/>
    <n v="27459.899999999998"/>
    <d v="2021-11-26T00:00:00"/>
    <x v="6"/>
    <s v="Q4"/>
    <x v="1"/>
    <x v="87"/>
    <s v="Amarilla"/>
    <x v="6"/>
  </r>
  <r>
    <x v="3"/>
    <x v="92"/>
    <s v="PROD_ID_006"/>
    <s v="High"/>
    <n v="2039"/>
    <n v="20"/>
    <n v="4078"/>
    <n v="36702"/>
    <n v="16312"/>
    <d v="2021-04-18T00:00:00"/>
    <x v="5"/>
    <s v="Q2"/>
    <x v="1"/>
    <x v="56"/>
    <s v="Amarilla"/>
    <x v="4"/>
  </r>
  <r>
    <x v="4"/>
    <x v="97"/>
    <s v="PROD_ID_006"/>
    <s v="High"/>
    <n v="2574"/>
    <n v="12"/>
    <n v="3088.8"/>
    <n v="27799.200000000001"/>
    <n v="20077.2"/>
    <d v="2022-05-02T00:00:00"/>
    <x v="10"/>
    <s v="Q2"/>
    <x v="1"/>
    <x v="71"/>
    <s v="Amarilla"/>
    <x v="1"/>
  </r>
  <r>
    <x v="3"/>
    <x v="46"/>
    <s v="PROD_ID_006"/>
    <s v="High"/>
    <n v="707"/>
    <n v="350"/>
    <n v="24745"/>
    <n v="222705"/>
    <n v="38885"/>
    <d v="2022-01-16T00:00:00"/>
    <x v="1"/>
    <s v="Q1"/>
    <x v="1"/>
    <x v="46"/>
    <s v="Amarilla"/>
    <x v="6"/>
  </r>
  <r>
    <x v="1"/>
    <x v="18"/>
    <s v="PROD_ID_006"/>
    <s v="High"/>
    <n v="2072"/>
    <n v="15"/>
    <n v="3108"/>
    <n v="27972"/>
    <n v="7252"/>
    <d v="2021-11-24T00:00:00"/>
    <x v="6"/>
    <s v="Q4"/>
    <x v="1"/>
    <x v="18"/>
    <s v="Amarilla"/>
    <x v="2"/>
  </r>
  <r>
    <x v="2"/>
    <x v="148"/>
    <s v="PROD_ID_006"/>
    <s v="High"/>
    <n v="853"/>
    <n v="300"/>
    <n v="25590"/>
    <n v="230310"/>
    <n v="17060"/>
    <d v="2022-12-11T00:00:00"/>
    <x v="7"/>
    <s v="Q4"/>
    <x v="1"/>
    <x v="52"/>
    <s v="Amarilla"/>
    <x v="4"/>
  </r>
  <r>
    <x v="3"/>
    <x v="51"/>
    <s v="PROD_ID_002"/>
    <s v="High"/>
    <n v="2532"/>
    <n v="7"/>
    <n v="1949.6399999999999"/>
    <n v="15774.36"/>
    <n v="3114.3599999999997"/>
    <d v="2022-09-16T00:00:00"/>
    <x v="0"/>
    <s v="Q3"/>
    <x v="1"/>
    <x v="51"/>
    <s v="Paseo"/>
    <x v="3"/>
  </r>
  <r>
    <x v="1"/>
    <x v="139"/>
    <s v="PROD_ID_003"/>
    <s v="High"/>
    <n v="384"/>
    <n v="15"/>
    <n v="633.59999999999991"/>
    <n v="5126.3999999999996"/>
    <n v="1286.3999999999999"/>
    <d v="2021-06-08T00:00:00"/>
    <x v="11"/>
    <s v="Q2"/>
    <x v="1"/>
    <x v="85"/>
    <s v="Velo"/>
    <x v="3"/>
  </r>
  <r>
    <x v="4"/>
    <x v="113"/>
    <s v="PROD_ID_003"/>
    <s v="High"/>
    <n v="472"/>
    <n v="12"/>
    <n v="623.04"/>
    <n v="5040.96"/>
    <n v="3624.96"/>
    <d v="2021-11-28T00:00:00"/>
    <x v="6"/>
    <s v="Q4"/>
    <x v="1"/>
    <x v="83"/>
    <s v="Velo"/>
    <x v="1"/>
  </r>
  <r>
    <x v="3"/>
    <x v="32"/>
    <s v="PROD_ID_004"/>
    <s v="High"/>
    <n v="1579"/>
    <n v="7"/>
    <n v="1215.83"/>
    <n v="9837.17"/>
    <n v="1942.17"/>
    <d v="2022-02-06T00:00:00"/>
    <x v="4"/>
    <s v="Q1"/>
    <x v="1"/>
    <x v="32"/>
    <s v="VTT"/>
    <x v="0"/>
  </r>
  <r>
    <x v="1"/>
    <x v="45"/>
    <s v="PROD_ID_006"/>
    <s v="High"/>
    <n v="3199.5"/>
    <n v="15"/>
    <n v="5279.1749999999993"/>
    <n v="42713.324999999997"/>
    <n v="10718.324999999999"/>
    <d v="2021-04-15T00:00:00"/>
    <x v="5"/>
    <s v="Q2"/>
    <x v="1"/>
    <x v="45"/>
    <s v="Amarilla"/>
    <x v="5"/>
  </r>
  <r>
    <x v="4"/>
    <x v="97"/>
    <s v="PROD_ID_006"/>
    <s v="High"/>
    <n v="472"/>
    <n v="12"/>
    <n v="623.04"/>
    <n v="5040.96"/>
    <n v="3624.96"/>
    <d v="2021-10-13T00:00:00"/>
    <x v="9"/>
    <s v="Q4"/>
    <x v="1"/>
    <x v="71"/>
    <s v="Amarilla"/>
    <x v="1"/>
  </r>
  <r>
    <x v="4"/>
    <x v="35"/>
    <s v="PROD_ID_005"/>
    <s v="High"/>
    <n v="1937"/>
    <n v="12"/>
    <n v="2556.84"/>
    <n v="20687.16"/>
    <n v="14876.16"/>
    <d v="2021-10-04T00:00:00"/>
    <x v="9"/>
    <s v="Q4"/>
    <x v="1"/>
    <x v="35"/>
    <s v="Carretera"/>
    <x v="3"/>
  </r>
  <r>
    <x v="3"/>
    <x v="47"/>
    <s v="PROD_ID_005"/>
    <s v="High"/>
    <n v="792"/>
    <n v="350"/>
    <n v="30492"/>
    <n v="246708"/>
    <n v="40788"/>
    <d v="2021-05-23T00:00:00"/>
    <x v="10"/>
    <s v="Q2"/>
    <x v="1"/>
    <x v="47"/>
    <s v="Carretera"/>
    <x v="7"/>
  </r>
  <r>
    <x v="2"/>
    <x v="19"/>
    <s v="PROD_ID_005"/>
    <s v="High"/>
    <n v="2811"/>
    <n v="300"/>
    <n v="92763"/>
    <n v="750537"/>
    <n v="47787"/>
    <d v="2022-08-31T00:00:00"/>
    <x v="2"/>
    <s v="Q3"/>
    <x v="1"/>
    <x v="19"/>
    <s v="Carretera"/>
    <x v="3"/>
  </r>
  <r>
    <x v="0"/>
    <x v="84"/>
    <s v="PROD_ID_005"/>
    <s v="High"/>
    <n v="2441"/>
    <n v="125"/>
    <n v="33563.75"/>
    <n v="271561.25"/>
    <n v="-21358.75"/>
    <d v="2022-04-05T00:00:00"/>
    <x v="5"/>
    <s v="Q2"/>
    <x v="1"/>
    <x v="80"/>
    <s v="Carretera"/>
    <x v="4"/>
  </r>
  <r>
    <x v="3"/>
    <x v="36"/>
    <s v="PROD_ID_001"/>
    <s v="High"/>
    <n v="766"/>
    <n v="350"/>
    <n v="29491"/>
    <n v="238609"/>
    <n v="39449"/>
    <d v="2022-04-14T00:00:00"/>
    <x v="5"/>
    <s v="Q2"/>
    <x v="1"/>
    <x v="36"/>
    <s v="Montana"/>
    <x v="4"/>
  </r>
  <r>
    <x v="1"/>
    <x v="111"/>
    <s v="PROD_ID_001"/>
    <s v="High"/>
    <n v="2157"/>
    <n v="15"/>
    <n v="3559.05"/>
    <n v="28795.95"/>
    <n v="7225.9500000000007"/>
    <d v="2022-08-30T00:00:00"/>
    <x v="2"/>
    <s v="Q3"/>
    <x v="1"/>
    <x v="81"/>
    <s v="Montana"/>
    <x v="7"/>
  </r>
  <r>
    <x v="2"/>
    <x v="69"/>
    <s v="PROD_ID_002"/>
    <s v="High"/>
    <n v="873"/>
    <n v="300"/>
    <n v="28809"/>
    <n v="233091"/>
    <n v="14841"/>
    <d v="2021-12-31T00:00:00"/>
    <x v="7"/>
    <s v="Q4"/>
    <x v="1"/>
    <x v="67"/>
    <s v="Paseo"/>
    <x v="5"/>
  </r>
  <r>
    <x v="3"/>
    <x v="39"/>
    <s v="PROD_ID_002"/>
    <s v="High"/>
    <n v="1122"/>
    <n v="20"/>
    <n v="2468.4"/>
    <n v="19971.599999999999"/>
    <n v="8751.5999999999985"/>
    <d v="2021-12-27T00:00:00"/>
    <x v="7"/>
    <s v="Q4"/>
    <x v="1"/>
    <x v="39"/>
    <s v="Paseo"/>
    <x v="7"/>
  </r>
  <r>
    <x v="3"/>
    <x v="3"/>
    <s v="PROD_ID_002"/>
    <s v="High"/>
    <n v="2104.5"/>
    <n v="350"/>
    <n v="81023.25"/>
    <n v="655551.75"/>
    <n v="108381.75"/>
    <d v="2021-12-03T00:00:00"/>
    <x v="7"/>
    <s v="Q4"/>
    <x v="1"/>
    <x v="3"/>
    <s v="Paseo"/>
    <x v="3"/>
  </r>
  <r>
    <x v="4"/>
    <x v="59"/>
    <s v="PROD_ID_002"/>
    <s v="High"/>
    <n v="4026"/>
    <n v="12"/>
    <n v="5314.32"/>
    <n v="42997.68"/>
    <n v="30919.68"/>
    <d v="2022-04-20T00:00:00"/>
    <x v="5"/>
    <s v="Q2"/>
    <x v="1"/>
    <x v="41"/>
    <s v="Paseo"/>
    <x v="3"/>
  </r>
  <r>
    <x v="4"/>
    <x v="24"/>
    <s v="PROD_ID_002"/>
    <s v="High"/>
    <n v="2425.5"/>
    <n v="12"/>
    <n v="3201.66"/>
    <n v="25904.340000000004"/>
    <n v="18627.840000000004"/>
    <d v="2021-12-01T00:00:00"/>
    <x v="7"/>
    <s v="Q4"/>
    <x v="1"/>
    <x v="24"/>
    <s v="Paseo"/>
    <x v="0"/>
  </r>
  <r>
    <x v="3"/>
    <x v="3"/>
    <s v="PROD_ID_002"/>
    <s v="High"/>
    <n v="2394"/>
    <n v="20"/>
    <n v="5266.8"/>
    <n v="42613.2"/>
    <n v="18673.199999999997"/>
    <d v="2021-03-12T00:00:00"/>
    <x v="8"/>
    <s v="Q1"/>
    <x v="1"/>
    <x v="3"/>
    <s v="Paseo"/>
    <x v="3"/>
  </r>
  <r>
    <x v="1"/>
    <x v="43"/>
    <s v="PROD_ID_002"/>
    <s v="High"/>
    <n v="1984"/>
    <n v="15"/>
    <n v="3273.6"/>
    <n v="26486.400000000001"/>
    <n v="6646.4000000000015"/>
    <d v="2022-11-24T00:00:00"/>
    <x v="6"/>
    <s v="Q4"/>
    <x v="1"/>
    <x v="43"/>
    <s v="Paseo"/>
    <x v="3"/>
  </r>
  <r>
    <x v="0"/>
    <x v="50"/>
    <s v="PROD_ID_002"/>
    <s v="High"/>
    <n v="2441"/>
    <n v="125"/>
    <n v="33563.75"/>
    <n v="271561.25"/>
    <n v="-21358.75"/>
    <d v="2021-10-05T00:00:00"/>
    <x v="9"/>
    <s v="Q4"/>
    <x v="1"/>
    <x v="50"/>
    <s v="Paseo"/>
    <x v="2"/>
  </r>
  <r>
    <x v="2"/>
    <x v="69"/>
    <s v="PROD_ID_002"/>
    <s v="High"/>
    <n v="1366"/>
    <n v="300"/>
    <n v="45078"/>
    <n v="364722"/>
    <n v="23222"/>
    <d v="2021-10-17T00:00:00"/>
    <x v="9"/>
    <s v="Q4"/>
    <x v="1"/>
    <x v="67"/>
    <s v="Paseo"/>
    <x v="5"/>
  </r>
  <r>
    <x v="3"/>
    <x v="15"/>
    <s v="PROD_ID_003"/>
    <s v="High"/>
    <n v="1808"/>
    <n v="7"/>
    <n v="1392.16"/>
    <n v="11263.84"/>
    <n v="2223.84"/>
    <d v="2021-04-08T00:00:00"/>
    <x v="5"/>
    <s v="Q2"/>
    <x v="1"/>
    <x v="15"/>
    <s v="Velo"/>
    <x v="7"/>
  </r>
  <r>
    <x v="4"/>
    <x v="80"/>
    <s v="PROD_ID_004"/>
    <s v="High"/>
    <n v="1734"/>
    <n v="12"/>
    <n v="2288.88"/>
    <n v="18519.12"/>
    <n v="13317.119999999999"/>
    <d v="2021-10-03T00:00:00"/>
    <x v="9"/>
    <s v="Q4"/>
    <x v="1"/>
    <x v="76"/>
    <s v="VTT"/>
    <x v="0"/>
  </r>
  <r>
    <x v="0"/>
    <x v="124"/>
    <s v="PROD_ID_004"/>
    <s v="High"/>
    <n v="554"/>
    <n v="125"/>
    <n v="7617.5"/>
    <n v="61632.5"/>
    <n v="-4847.5"/>
    <d v="2021-06-04T00:00:00"/>
    <x v="11"/>
    <s v="Q2"/>
    <x v="1"/>
    <x v="52"/>
    <s v="VTT"/>
    <x v="4"/>
  </r>
  <r>
    <x v="0"/>
    <x v="72"/>
    <s v="PROD_ID_006"/>
    <s v="High"/>
    <n v="3165"/>
    <n v="125"/>
    <n v="43518.75"/>
    <n v="352106.25"/>
    <n v="-27693.75"/>
    <d v="2021-11-07T00:00:00"/>
    <x v="6"/>
    <s v="Q4"/>
    <x v="1"/>
    <x v="70"/>
    <s v="Amarilla"/>
    <x v="0"/>
  </r>
  <r>
    <x v="3"/>
    <x v="92"/>
    <s v="PROD_ID_006"/>
    <s v="High"/>
    <n v="2629"/>
    <n v="20"/>
    <n v="5783.8"/>
    <n v="46796.2"/>
    <n v="20506.199999999997"/>
    <d v="2022-04-26T00:00:00"/>
    <x v="5"/>
    <s v="Q2"/>
    <x v="1"/>
    <x v="56"/>
    <s v="Amarilla"/>
    <x v="4"/>
  </r>
  <r>
    <x v="0"/>
    <x v="137"/>
    <s v="PROD_ID_006"/>
    <s v="High"/>
    <n v="1433"/>
    <n v="125"/>
    <n v="19703.75"/>
    <n v="159421.25"/>
    <n v="-12538.75"/>
    <d v="2021-07-21T00:00:00"/>
    <x v="3"/>
    <s v="Q3"/>
    <x v="1"/>
    <x v="83"/>
    <s v="Amarilla"/>
    <x v="1"/>
  </r>
  <r>
    <x v="1"/>
    <x v="103"/>
    <s v="PROD_ID_006"/>
    <s v="High"/>
    <n v="2157"/>
    <n v="15"/>
    <n v="3559.05"/>
    <n v="28795.95"/>
    <n v="7225.9500000000007"/>
    <d v="2021-10-27T00:00:00"/>
    <x v="9"/>
    <s v="Q4"/>
    <x v="1"/>
    <x v="92"/>
    <s v="Amarilla"/>
    <x v="7"/>
  </r>
  <r>
    <x v="3"/>
    <x v="65"/>
    <s v="PROD_ID_005"/>
    <s v="High"/>
    <n v="886"/>
    <n v="350"/>
    <n v="37212"/>
    <n v="272888"/>
    <n v="42528"/>
    <d v="2022-12-07T00:00:00"/>
    <x v="7"/>
    <s v="Q4"/>
    <x v="1"/>
    <x v="64"/>
    <s v="Carretera"/>
    <x v="1"/>
  </r>
  <r>
    <x v="0"/>
    <x v="99"/>
    <s v="PROD_ID_005"/>
    <s v="High"/>
    <n v="2156"/>
    <n v="125"/>
    <n v="32340"/>
    <n v="237160"/>
    <n v="-21560"/>
    <d v="2021-10-18T00:00:00"/>
    <x v="9"/>
    <s v="Q4"/>
    <x v="1"/>
    <x v="73"/>
    <s v="Carretera"/>
    <x v="3"/>
  </r>
  <r>
    <x v="1"/>
    <x v="89"/>
    <s v="PROD_ID_005"/>
    <s v="High"/>
    <n v="2689"/>
    <n v="15"/>
    <n v="4840.2"/>
    <n v="35494.800000000003"/>
    <n v="8604.8000000000029"/>
    <d v="2021-06-16T00:00:00"/>
    <x v="11"/>
    <s v="Q2"/>
    <x v="1"/>
    <x v="83"/>
    <s v="Carretera"/>
    <x v="1"/>
  </r>
  <r>
    <x v="1"/>
    <x v="112"/>
    <s v="PROD_ID_001"/>
    <s v="High"/>
    <n v="677"/>
    <n v="15"/>
    <n v="1218.5999999999999"/>
    <n v="8936.4"/>
    <n v="2166.3999999999996"/>
    <d v="2022-11-02T00:00:00"/>
    <x v="6"/>
    <s v="Q4"/>
    <x v="1"/>
    <x v="82"/>
    <s v="Montana"/>
    <x v="0"/>
  </r>
  <r>
    <x v="2"/>
    <x v="77"/>
    <s v="PROD_ID_001"/>
    <s v="High"/>
    <n v="1773"/>
    <n v="300"/>
    <n v="63828"/>
    <n v="468072"/>
    <n v="24822"/>
    <d v="2022-12-03T00:00:00"/>
    <x v="7"/>
    <s v="Q4"/>
    <x v="1"/>
    <x v="75"/>
    <s v="Montana"/>
    <x v="5"/>
  </r>
  <r>
    <x v="3"/>
    <x v="48"/>
    <s v="PROD_ID_001"/>
    <s v="High"/>
    <n v="2420"/>
    <n v="7"/>
    <n v="2032.8"/>
    <n v="14907.2"/>
    <n v="2807.2000000000007"/>
    <d v="2021-12-02T00:00:00"/>
    <x v="7"/>
    <s v="Q4"/>
    <x v="1"/>
    <x v="48"/>
    <s v="Montana"/>
    <x v="0"/>
  </r>
  <r>
    <x v="3"/>
    <x v="42"/>
    <s v="PROD_ID_001"/>
    <s v="High"/>
    <n v="2734"/>
    <n v="7"/>
    <n v="2296.56"/>
    <n v="16841.439999999999"/>
    <n v="3171.4399999999987"/>
    <d v="2022-05-07T00:00:00"/>
    <x v="10"/>
    <s v="Q2"/>
    <x v="1"/>
    <x v="42"/>
    <s v="Montana"/>
    <x v="2"/>
  </r>
  <r>
    <x v="2"/>
    <x v="115"/>
    <s v="PROD_ID_002"/>
    <s v="High"/>
    <n v="3495"/>
    <n v="300"/>
    <n v="125820"/>
    <n v="922680"/>
    <n v="48930"/>
    <d v="2022-09-03T00:00:00"/>
    <x v="0"/>
    <s v="Q3"/>
    <x v="1"/>
    <x v="85"/>
    <s v="Paseo"/>
    <x v="3"/>
  </r>
  <r>
    <x v="3"/>
    <x v="39"/>
    <s v="PROD_ID_002"/>
    <s v="High"/>
    <n v="886"/>
    <n v="350"/>
    <n v="37212"/>
    <n v="272888"/>
    <n v="42528"/>
    <d v="2021-06-26T00:00:00"/>
    <x v="11"/>
    <s v="Q2"/>
    <x v="1"/>
    <x v="39"/>
    <s v="Paseo"/>
    <x v="7"/>
  </r>
  <r>
    <x v="0"/>
    <x v="23"/>
    <s v="PROD_ID_002"/>
    <s v="High"/>
    <n v="2156"/>
    <n v="125"/>
    <n v="32340"/>
    <n v="237160"/>
    <n v="-21560"/>
    <d v="2021-06-24T00:00:00"/>
    <x v="11"/>
    <s v="Q2"/>
    <x v="1"/>
    <x v="23"/>
    <s v="Paseo"/>
    <x v="7"/>
  </r>
  <r>
    <x v="3"/>
    <x v="39"/>
    <s v="PROD_ID_002"/>
    <s v="High"/>
    <n v="905"/>
    <n v="20"/>
    <n v="2172"/>
    <n v="15928"/>
    <n v="6878"/>
    <d v="2022-05-02T00:00:00"/>
    <x v="10"/>
    <s v="Q2"/>
    <x v="1"/>
    <x v="39"/>
    <s v="Paseo"/>
    <x v="7"/>
  </r>
  <r>
    <x v="3"/>
    <x v="51"/>
    <s v="PROD_ID_002"/>
    <s v="High"/>
    <n v="1594"/>
    <n v="350"/>
    <n v="66948"/>
    <n v="490952"/>
    <n v="76512"/>
    <d v="2021-07-12T00:00:00"/>
    <x v="3"/>
    <s v="Q3"/>
    <x v="1"/>
    <x v="51"/>
    <s v="Paseo"/>
    <x v="3"/>
  </r>
  <r>
    <x v="2"/>
    <x v="68"/>
    <s v="PROD_ID_002"/>
    <s v="High"/>
    <n v="1359"/>
    <n v="300"/>
    <n v="48924"/>
    <n v="358776"/>
    <n v="19026"/>
    <d v="2021-10-25T00:00:00"/>
    <x v="9"/>
    <s v="Q4"/>
    <x v="1"/>
    <x v="56"/>
    <s v="Paseo"/>
    <x v="4"/>
  </r>
  <r>
    <x v="2"/>
    <x v="2"/>
    <s v="PROD_ID_002"/>
    <s v="High"/>
    <n v="2150"/>
    <n v="300"/>
    <n v="77400"/>
    <n v="567600"/>
    <n v="30100"/>
    <d v="2022-04-23T00:00:00"/>
    <x v="5"/>
    <s v="Q2"/>
    <x v="1"/>
    <x v="2"/>
    <s v="Paseo"/>
    <x v="2"/>
  </r>
  <r>
    <x v="3"/>
    <x v="39"/>
    <s v="PROD_ID_002"/>
    <s v="High"/>
    <n v="1197"/>
    <n v="350"/>
    <n v="50274"/>
    <n v="368676"/>
    <n v="57456"/>
    <d v="2022-03-27T00:00:00"/>
    <x v="8"/>
    <s v="Q1"/>
    <x v="1"/>
    <x v="39"/>
    <s v="Paseo"/>
    <x v="7"/>
  </r>
  <r>
    <x v="3"/>
    <x v="39"/>
    <s v="PROD_ID_002"/>
    <s v="High"/>
    <n v="1233"/>
    <n v="20"/>
    <n v="2959.2"/>
    <n v="21700.799999999999"/>
    <n v="9370.7999999999993"/>
    <d v="2022-07-22T00:00:00"/>
    <x v="3"/>
    <s v="Q3"/>
    <x v="1"/>
    <x v="39"/>
    <s v="Paseo"/>
    <x v="7"/>
  </r>
  <r>
    <x v="3"/>
    <x v="30"/>
    <s v="PROD_ID_003"/>
    <s v="High"/>
    <n v="1395"/>
    <n v="350"/>
    <n v="58590"/>
    <n v="429660"/>
    <n v="66960"/>
    <d v="2022-02-06T00:00:00"/>
    <x v="4"/>
    <s v="Q1"/>
    <x v="1"/>
    <x v="30"/>
    <s v="Velo"/>
    <x v="6"/>
  </r>
  <r>
    <x v="3"/>
    <x v="40"/>
    <s v="PROD_ID_003"/>
    <s v="High"/>
    <n v="986"/>
    <n v="350"/>
    <n v="41412"/>
    <n v="303688"/>
    <n v="47328"/>
    <d v="2022-12-19T00:00:00"/>
    <x v="7"/>
    <s v="Q4"/>
    <x v="1"/>
    <x v="40"/>
    <s v="Velo"/>
    <x v="0"/>
  </r>
  <r>
    <x v="3"/>
    <x v="30"/>
    <s v="PROD_ID_003"/>
    <s v="High"/>
    <n v="905"/>
    <n v="20"/>
    <n v="2172"/>
    <n v="15928"/>
    <n v="6878"/>
    <d v="2022-10-26T00:00:00"/>
    <x v="9"/>
    <s v="Q4"/>
    <x v="1"/>
    <x v="30"/>
    <s v="Velo"/>
    <x v="6"/>
  </r>
  <r>
    <x v="4"/>
    <x v="141"/>
    <s v="PROD_ID_004"/>
    <s v="High"/>
    <n v="2109"/>
    <n v="12"/>
    <n v="3036.96"/>
    <n v="22271.040000000001"/>
    <n v="15944.04"/>
    <d v="2022-01-04T00:00:00"/>
    <x v="1"/>
    <s v="Q1"/>
    <x v="1"/>
    <x v="86"/>
    <s v="VTT"/>
    <x v="5"/>
  </r>
  <r>
    <x v="1"/>
    <x v="86"/>
    <s v="PROD_ID_004"/>
    <s v="High"/>
    <n v="3874.5"/>
    <n v="15"/>
    <n v="6974.0999999999995"/>
    <n v="51143.399999999994"/>
    <n v="12398.399999999998"/>
    <d v="2021-12-22T00:00:00"/>
    <x v="7"/>
    <s v="Q4"/>
    <x v="1"/>
    <x v="50"/>
    <s v="VTT"/>
    <x v="6"/>
  </r>
  <r>
    <x v="3"/>
    <x v="32"/>
    <s v="PROD_ID_004"/>
    <s v="High"/>
    <n v="986"/>
    <n v="350"/>
    <n v="41412"/>
    <n v="303688"/>
    <n v="47328"/>
    <d v="2022-01-07T00:00:00"/>
    <x v="1"/>
    <s v="Q1"/>
    <x v="1"/>
    <x v="32"/>
    <s v="VTT"/>
    <x v="0"/>
  </r>
  <r>
    <x v="0"/>
    <x v="116"/>
    <s v="PROD_ID_004"/>
    <s v="High"/>
    <n v="2387"/>
    <n v="125"/>
    <n v="35805"/>
    <n v="262570"/>
    <n v="-23870"/>
    <d v="2022-12-22T00:00:00"/>
    <x v="7"/>
    <s v="Q4"/>
    <x v="1"/>
    <x v="56"/>
    <s v="VTT"/>
    <x v="4"/>
  </r>
  <r>
    <x v="3"/>
    <x v="33"/>
    <s v="PROD_ID_004"/>
    <s v="High"/>
    <n v="1233"/>
    <n v="20"/>
    <n v="2959.2"/>
    <n v="21700.799999999999"/>
    <n v="9370.7999999999993"/>
    <d v="2021-04-17T00:00:00"/>
    <x v="5"/>
    <s v="Q2"/>
    <x v="1"/>
    <x v="33"/>
    <s v="VTT"/>
    <x v="1"/>
  </r>
  <r>
    <x v="3"/>
    <x v="63"/>
    <s v="PROD_ID_006"/>
    <s v="High"/>
    <n v="270"/>
    <n v="350"/>
    <n v="11340"/>
    <n v="83160"/>
    <n v="12960"/>
    <d v="2021-01-27T00:00:00"/>
    <x v="1"/>
    <s v="Q1"/>
    <x v="1"/>
    <x v="62"/>
    <s v="Amarilla"/>
    <x v="7"/>
  </r>
  <r>
    <x v="3"/>
    <x v="64"/>
    <s v="PROD_ID_006"/>
    <s v="High"/>
    <n v="3421.5"/>
    <n v="7"/>
    <n v="2874.06"/>
    <n v="21076.44"/>
    <n v="3968.9399999999987"/>
    <d v="2022-01-13T00:00:00"/>
    <x v="1"/>
    <s v="Q1"/>
    <x v="1"/>
    <x v="63"/>
    <s v="Amarilla"/>
    <x v="0"/>
  </r>
  <r>
    <x v="3"/>
    <x v="46"/>
    <s v="PROD_ID_006"/>
    <s v="High"/>
    <n v="2734"/>
    <n v="7"/>
    <n v="2296.56"/>
    <n v="16841.439999999999"/>
    <n v="3171.4399999999987"/>
    <d v="2022-04-13T00:00:00"/>
    <x v="5"/>
    <s v="Q2"/>
    <x v="1"/>
    <x v="46"/>
    <s v="Amarilla"/>
    <x v="6"/>
  </r>
  <r>
    <x v="3"/>
    <x v="20"/>
    <s v="PROD_ID_005"/>
    <s v="High"/>
    <n v="2521.5"/>
    <n v="20"/>
    <n v="6051.6"/>
    <n v="44378.399999999994"/>
    <n v="19163.399999999998"/>
    <d v="2022-08-11T00:00:00"/>
    <x v="2"/>
    <s v="Q3"/>
    <x v="1"/>
    <x v="20"/>
    <s v="Carretera"/>
    <x v="4"/>
  </r>
  <r>
    <x v="4"/>
    <x v="119"/>
    <s v="PROD_ID_001"/>
    <s v="High"/>
    <n v="2661"/>
    <n v="12"/>
    <n v="3831.84"/>
    <n v="28100.16"/>
    <n v="20117.16"/>
    <d v="2021-07-12T00:00:00"/>
    <x v="3"/>
    <s v="Q3"/>
    <x v="1"/>
    <x v="69"/>
    <s v="Montana"/>
    <x v="7"/>
  </r>
  <r>
    <x v="3"/>
    <x v="71"/>
    <s v="PROD_ID_002"/>
    <s v="High"/>
    <n v="1531"/>
    <n v="20"/>
    <n v="3674.4"/>
    <n v="26945.599999999999"/>
    <n v="11635.599999999999"/>
    <d v="2021-05-19T00:00:00"/>
    <x v="10"/>
    <s v="Q2"/>
    <x v="1"/>
    <x v="69"/>
    <s v="Paseo"/>
    <x v="7"/>
  </r>
  <r>
    <x v="3"/>
    <x v="7"/>
    <s v="PROD_ID_004"/>
    <s v="High"/>
    <n v="1491"/>
    <n v="7"/>
    <n v="1252.44"/>
    <n v="9184.56"/>
    <n v="1729.5599999999995"/>
    <d v="2021-03-23T00:00:00"/>
    <x v="8"/>
    <s v="Q1"/>
    <x v="1"/>
    <x v="7"/>
    <s v="VTT"/>
    <x v="7"/>
  </r>
  <r>
    <x v="3"/>
    <x v="55"/>
    <s v="PROD_ID_004"/>
    <s v="High"/>
    <n v="1531"/>
    <n v="20"/>
    <n v="3674.4"/>
    <n v="26945.599999999999"/>
    <n v="11635.599999999999"/>
    <d v="2021-09-16T00:00:00"/>
    <x v="0"/>
    <s v="Q3"/>
    <x v="1"/>
    <x v="55"/>
    <s v="VTT"/>
    <x v="7"/>
  </r>
  <r>
    <x v="1"/>
    <x v="135"/>
    <s v="PROD_ID_005"/>
    <s v="High"/>
    <n v="2567"/>
    <n v="15"/>
    <n v="5005.6499999999996"/>
    <n v="33499.35"/>
    <n v="7829.3499999999985"/>
    <d v="2021-12-04T00:00:00"/>
    <x v="7"/>
    <s v="Q4"/>
    <x v="1"/>
    <x v="81"/>
    <s v="Carretera"/>
    <x v="7"/>
  </r>
  <r>
    <x v="1"/>
    <x v="138"/>
    <s v="PROD_ID_004"/>
    <s v="High"/>
    <n v="2567"/>
    <n v="15"/>
    <n v="5005.6499999999996"/>
    <n v="33499.35"/>
    <n v="7829.3499999999985"/>
    <d v="2021-06-21T00:00:00"/>
    <x v="11"/>
    <s v="Q2"/>
    <x v="1"/>
    <x v="84"/>
    <s v="VTT"/>
    <x v="2"/>
  </r>
  <r>
    <x v="3"/>
    <x v="41"/>
    <s v="PROD_ID_005"/>
    <s v="High"/>
    <n v="923"/>
    <n v="350"/>
    <n v="41996.5"/>
    <n v="281053.5"/>
    <n v="41073.5"/>
    <d v="2022-04-08T00:00:00"/>
    <x v="5"/>
    <s v="Q2"/>
    <x v="1"/>
    <x v="41"/>
    <s v="Carretera"/>
    <x v="1"/>
  </r>
  <r>
    <x v="3"/>
    <x v="20"/>
    <s v="PROD_ID_005"/>
    <s v="High"/>
    <n v="1790"/>
    <n v="350"/>
    <n v="81445"/>
    <n v="545055"/>
    <n v="79655"/>
    <d v="2021-07-27T00:00:00"/>
    <x v="3"/>
    <s v="Q3"/>
    <x v="1"/>
    <x v="20"/>
    <s v="Carretera"/>
    <x v="4"/>
  </r>
  <r>
    <x v="3"/>
    <x v="98"/>
    <s v="PROD_ID_001"/>
    <s v="High"/>
    <n v="982.5"/>
    <n v="350"/>
    <n v="44703.75"/>
    <n v="299171.25"/>
    <n v="43721.25"/>
    <d v="2022-11-24T00:00:00"/>
    <x v="6"/>
    <s v="Q4"/>
    <x v="1"/>
    <x v="72"/>
    <s v="Montana"/>
    <x v="2"/>
  </r>
  <r>
    <x v="3"/>
    <x v="98"/>
    <s v="PROD_ID_001"/>
    <s v="High"/>
    <n v="1298"/>
    <n v="7"/>
    <n v="1181.18"/>
    <n v="7904.82"/>
    <n v="1414.8199999999997"/>
    <d v="2022-05-21T00:00:00"/>
    <x v="10"/>
    <s v="Q2"/>
    <x v="1"/>
    <x v="72"/>
    <s v="Montana"/>
    <x v="2"/>
  </r>
  <r>
    <x v="4"/>
    <x v="119"/>
    <s v="PROD_ID_001"/>
    <s v="High"/>
    <n v="604"/>
    <n v="12"/>
    <n v="942.24"/>
    <n v="6305.76"/>
    <n v="4493.76"/>
    <d v="2021-07-10T00:00:00"/>
    <x v="3"/>
    <s v="Q3"/>
    <x v="1"/>
    <x v="69"/>
    <s v="Montana"/>
    <x v="7"/>
  </r>
  <r>
    <x v="3"/>
    <x v="48"/>
    <s v="PROD_ID_001"/>
    <s v="High"/>
    <n v="2255"/>
    <n v="20"/>
    <n v="5863"/>
    <n v="39237"/>
    <n v="16687"/>
    <d v="2022-03-21T00:00:00"/>
    <x v="8"/>
    <s v="Q1"/>
    <x v="1"/>
    <x v="48"/>
    <s v="Montana"/>
    <x v="0"/>
  </r>
  <r>
    <x v="3"/>
    <x v="42"/>
    <s v="PROD_ID_001"/>
    <s v="High"/>
    <n v="1249"/>
    <n v="20"/>
    <n v="3247.4"/>
    <n v="21732.6"/>
    <n v="9242.5999999999985"/>
    <d v="2021-04-16T00:00:00"/>
    <x v="5"/>
    <s v="Q2"/>
    <x v="1"/>
    <x v="42"/>
    <s v="Montana"/>
    <x v="2"/>
  </r>
  <r>
    <x v="3"/>
    <x v="26"/>
    <s v="PROD_ID_002"/>
    <s v="High"/>
    <n v="1438.5"/>
    <n v="7"/>
    <n v="1309.0350000000001"/>
    <n v="8760.4650000000001"/>
    <n v="1567.9649999999992"/>
    <d v="2021-09-27T00:00:00"/>
    <x v="0"/>
    <s v="Q3"/>
    <x v="1"/>
    <x v="26"/>
    <s v="Paseo"/>
    <x v="2"/>
  </r>
  <r>
    <x v="2"/>
    <x v="68"/>
    <s v="PROD_ID_002"/>
    <s v="High"/>
    <n v="807"/>
    <n v="300"/>
    <n v="31473"/>
    <n v="210627"/>
    <n v="8877"/>
    <d v="2022-06-23T00:00:00"/>
    <x v="11"/>
    <s v="Q2"/>
    <x v="1"/>
    <x v="56"/>
    <s v="Paseo"/>
    <x v="4"/>
  </r>
  <r>
    <x v="3"/>
    <x v="26"/>
    <s v="PROD_ID_002"/>
    <s v="High"/>
    <n v="2641"/>
    <n v="20"/>
    <n v="6866.6"/>
    <n v="45953.4"/>
    <n v="19543.400000000001"/>
    <d v="2022-01-22T00:00:00"/>
    <x v="1"/>
    <s v="Q1"/>
    <x v="1"/>
    <x v="26"/>
    <s v="Paseo"/>
    <x v="2"/>
  </r>
  <r>
    <x v="3"/>
    <x v="71"/>
    <s v="PROD_ID_002"/>
    <s v="High"/>
    <n v="2708"/>
    <n v="20"/>
    <n v="7040.8"/>
    <n v="47119.199999999997"/>
    <n v="20039.199999999997"/>
    <d v="2022-10-27T00:00:00"/>
    <x v="9"/>
    <s v="Q4"/>
    <x v="1"/>
    <x v="69"/>
    <s v="Paseo"/>
    <x v="7"/>
  </r>
  <r>
    <x v="3"/>
    <x v="3"/>
    <s v="PROD_ID_002"/>
    <s v="High"/>
    <n v="2632"/>
    <n v="350"/>
    <n v="119756"/>
    <n v="801444"/>
    <n v="117124"/>
    <d v="2021-11-21T00:00:00"/>
    <x v="6"/>
    <s v="Q4"/>
    <x v="1"/>
    <x v="3"/>
    <s v="Paseo"/>
    <x v="3"/>
  </r>
  <r>
    <x v="0"/>
    <x v="121"/>
    <s v="PROD_ID_002"/>
    <s v="High"/>
    <n v="1583"/>
    <n v="125"/>
    <n v="25723.75"/>
    <n v="172151.25"/>
    <n v="-17808.75"/>
    <d v="2022-10-24T00:00:00"/>
    <x v="9"/>
    <s v="Q4"/>
    <x v="1"/>
    <x v="71"/>
    <s v="Paseo"/>
    <x v="1"/>
  </r>
  <r>
    <x v="4"/>
    <x v="70"/>
    <s v="PROD_ID_002"/>
    <s v="High"/>
    <n v="571"/>
    <n v="12"/>
    <n v="890.76"/>
    <n v="5961.24"/>
    <n v="4248.24"/>
    <d v="2021-08-30T00:00:00"/>
    <x v="2"/>
    <s v="Q3"/>
    <x v="1"/>
    <x v="68"/>
    <s v="Paseo"/>
    <x v="6"/>
  </r>
  <r>
    <x v="3"/>
    <x v="51"/>
    <s v="PROD_ID_002"/>
    <s v="High"/>
    <n v="2696"/>
    <n v="7"/>
    <n v="2453.36"/>
    <n v="16418.64"/>
    <n v="2938.6399999999994"/>
    <d v="2022-11-18T00:00:00"/>
    <x v="6"/>
    <s v="Q4"/>
    <x v="1"/>
    <x v="51"/>
    <s v="Paseo"/>
    <x v="3"/>
  </r>
  <r>
    <x v="1"/>
    <x v="5"/>
    <s v="PROD_ID_002"/>
    <s v="High"/>
    <n v="1565"/>
    <n v="15"/>
    <n v="3051.75"/>
    <n v="20423.25"/>
    <n v="4773.25"/>
    <d v="2022-01-29T00:00:00"/>
    <x v="1"/>
    <s v="Q1"/>
    <x v="1"/>
    <x v="5"/>
    <s v="Paseo"/>
    <x v="5"/>
  </r>
  <r>
    <x v="3"/>
    <x v="3"/>
    <s v="PROD_ID_002"/>
    <s v="High"/>
    <n v="1249"/>
    <n v="20"/>
    <n v="3247.4"/>
    <n v="21732.6"/>
    <n v="9242.5999999999985"/>
    <d v="2021-12-27T00:00:00"/>
    <x v="7"/>
    <s v="Q4"/>
    <x v="1"/>
    <x v="3"/>
    <s v="Paseo"/>
    <x v="3"/>
  </r>
  <r>
    <x v="3"/>
    <x v="71"/>
    <s v="PROD_ID_002"/>
    <s v="High"/>
    <n v="357"/>
    <n v="350"/>
    <n v="16243.5"/>
    <n v="108706.5"/>
    <n v="15886.5"/>
    <d v="2021-01-04T00:00:00"/>
    <x v="1"/>
    <s v="Q1"/>
    <x v="1"/>
    <x v="69"/>
    <s v="Paseo"/>
    <x v="7"/>
  </r>
  <r>
    <x v="4"/>
    <x v="13"/>
    <s v="PROD_ID_002"/>
    <s v="High"/>
    <n v="1013"/>
    <n v="12"/>
    <n v="1580.28"/>
    <n v="10575.72"/>
    <n v="7536.7199999999993"/>
    <d v="2022-11-18T00:00:00"/>
    <x v="6"/>
    <s v="Q4"/>
    <x v="1"/>
    <x v="13"/>
    <s v="Paseo"/>
    <x v="5"/>
  </r>
  <r>
    <x v="1"/>
    <x v="149"/>
    <s v="PROD_ID_003"/>
    <s v="High"/>
    <n v="3997.5"/>
    <n v="15"/>
    <n v="7795.125"/>
    <n v="52167.375"/>
    <n v="12192.375"/>
    <d v="2021-12-22T00:00:00"/>
    <x v="7"/>
    <s v="Q4"/>
    <x v="1"/>
    <x v="90"/>
    <s v="Velo"/>
    <x v="5"/>
  </r>
  <r>
    <x v="3"/>
    <x v="15"/>
    <s v="PROD_ID_003"/>
    <s v="High"/>
    <n v="2632"/>
    <n v="350"/>
    <n v="119756"/>
    <n v="801444"/>
    <n v="117124"/>
    <d v="2022-03-05T00:00:00"/>
    <x v="8"/>
    <s v="Q1"/>
    <x v="1"/>
    <x v="15"/>
    <s v="Velo"/>
    <x v="7"/>
  </r>
  <r>
    <x v="3"/>
    <x v="53"/>
    <s v="PROD_ID_003"/>
    <s v="High"/>
    <n v="1190"/>
    <n v="7"/>
    <n v="1082.9000000000001"/>
    <n v="7247.1"/>
    <n v="1297.1000000000004"/>
    <d v="2021-05-07T00:00:00"/>
    <x v="10"/>
    <s v="Q2"/>
    <x v="1"/>
    <x v="53"/>
    <s v="Velo"/>
    <x v="5"/>
  </r>
  <r>
    <x v="4"/>
    <x v="123"/>
    <s v="PROD_ID_003"/>
    <s v="High"/>
    <n v="604"/>
    <n v="12"/>
    <n v="942.24"/>
    <n v="6305.76"/>
    <n v="4493.76"/>
    <d v="2021-09-10T00:00:00"/>
    <x v="0"/>
    <s v="Q3"/>
    <x v="1"/>
    <x v="73"/>
    <s v="Velo"/>
    <x v="3"/>
  </r>
  <r>
    <x v="4"/>
    <x v="123"/>
    <s v="PROD_ID_003"/>
    <s v="High"/>
    <n v="410"/>
    <n v="12"/>
    <n v="639.6"/>
    <n v="4280.3999999999996"/>
    <n v="3050.3999999999996"/>
    <d v="2022-02-14T00:00:00"/>
    <x v="4"/>
    <s v="Q1"/>
    <x v="1"/>
    <x v="73"/>
    <s v="Velo"/>
    <x v="3"/>
  </r>
  <r>
    <x v="4"/>
    <x v="113"/>
    <s v="PROD_ID_003"/>
    <s v="High"/>
    <n v="1013"/>
    <n v="12"/>
    <n v="1580.28"/>
    <n v="10575.72"/>
    <n v="7536.7199999999993"/>
    <d v="2022-08-17T00:00:00"/>
    <x v="2"/>
    <s v="Q3"/>
    <x v="1"/>
    <x v="83"/>
    <s v="Velo"/>
    <x v="1"/>
  </r>
  <r>
    <x v="0"/>
    <x v="104"/>
    <s v="PROD_ID_004"/>
    <s v="High"/>
    <n v="1583"/>
    <n v="125"/>
    <n v="25723.75"/>
    <n v="172151.25"/>
    <n v="-17808.75"/>
    <d v="2021-09-14T00:00:00"/>
    <x v="0"/>
    <s v="Q3"/>
    <x v="1"/>
    <x v="38"/>
    <s v="VTT"/>
    <x v="0"/>
  </r>
  <r>
    <x v="1"/>
    <x v="136"/>
    <s v="PROD_ID_004"/>
    <s v="High"/>
    <n v="1565"/>
    <n v="15"/>
    <n v="3051.75"/>
    <n v="20423.25"/>
    <n v="4773.25"/>
    <d v="2022-06-21T00:00:00"/>
    <x v="11"/>
    <s v="Q2"/>
    <x v="1"/>
    <x v="82"/>
    <s v="VTT"/>
    <x v="0"/>
  </r>
  <r>
    <x v="0"/>
    <x v="142"/>
    <s v="PROD_ID_006"/>
    <s v="High"/>
    <n v="1659"/>
    <n v="125"/>
    <n v="26958.75"/>
    <n v="180416.25"/>
    <n v="-18663.75"/>
    <d v="2021-08-22T00:00:00"/>
    <x v="2"/>
    <s v="Q3"/>
    <x v="1"/>
    <x v="87"/>
    <s v="Amarilla"/>
    <x v="6"/>
  </r>
  <r>
    <x v="3"/>
    <x v="64"/>
    <s v="PROD_ID_006"/>
    <s v="High"/>
    <n v="1190"/>
    <n v="7"/>
    <n v="1082.9000000000001"/>
    <n v="7247.1"/>
    <n v="1297.1000000000004"/>
    <d v="2022-02-17T00:00:00"/>
    <x v="4"/>
    <s v="Q1"/>
    <x v="1"/>
    <x v="63"/>
    <s v="Amarilla"/>
    <x v="0"/>
  </r>
  <r>
    <x v="4"/>
    <x v="75"/>
    <s v="PROD_ID_006"/>
    <s v="High"/>
    <n v="410"/>
    <n v="12"/>
    <n v="639.6"/>
    <n v="4280.3999999999996"/>
    <n v="3050.3999999999996"/>
    <d v="2022-01-22T00:00:00"/>
    <x v="1"/>
    <s v="Q1"/>
    <x v="1"/>
    <x v="73"/>
    <s v="Amarilla"/>
    <x v="3"/>
  </r>
  <r>
    <x v="3"/>
    <x v="65"/>
    <s v="PROD_ID_005"/>
    <s v="High"/>
    <n v="2579"/>
    <n v="20"/>
    <n v="7221.2"/>
    <n v="44358.8"/>
    <n v="18568.800000000003"/>
    <d v="2021-03-03T00:00:00"/>
    <x v="8"/>
    <s v="Q1"/>
    <x v="1"/>
    <x v="64"/>
    <s v="Carretera"/>
    <x v="1"/>
  </r>
  <r>
    <x v="3"/>
    <x v="56"/>
    <s v="PROD_ID_005"/>
    <s v="High"/>
    <n v="1743"/>
    <n v="20"/>
    <n v="4880.3999999999996"/>
    <n v="29979.599999999999"/>
    <n v="12549.599999999999"/>
    <d v="2022-09-21T00:00:00"/>
    <x v="0"/>
    <s v="Q3"/>
    <x v="1"/>
    <x v="56"/>
    <s v="Carretera"/>
    <x v="0"/>
  </r>
  <r>
    <x v="3"/>
    <x v="47"/>
    <s v="PROD_ID_005"/>
    <s v="High"/>
    <n v="280"/>
    <n v="7"/>
    <n v="274.39999999999998"/>
    <n v="1685.6"/>
    <n v="285.59999999999991"/>
    <d v="2021-11-07T00:00:00"/>
    <x v="6"/>
    <s v="Q4"/>
    <x v="1"/>
    <x v="47"/>
    <s v="Carretera"/>
    <x v="7"/>
  </r>
  <r>
    <x v="3"/>
    <x v="58"/>
    <s v="PROD_ID_001"/>
    <s v="High"/>
    <n v="293"/>
    <n v="7"/>
    <n v="287.14"/>
    <n v="1763.8600000000001"/>
    <n v="298.86000000000013"/>
    <d v="2021-05-03T00:00:00"/>
    <x v="10"/>
    <s v="Q2"/>
    <x v="1"/>
    <x v="58"/>
    <s v="Montana"/>
    <x v="2"/>
  </r>
  <r>
    <x v="1"/>
    <x v="37"/>
    <s v="PROD_ID_002"/>
    <s v="High"/>
    <n v="278"/>
    <n v="15"/>
    <n v="583.79999999999995"/>
    <n v="3586.2"/>
    <n v="806.19999999999982"/>
    <d v="2021-09-23T00:00:00"/>
    <x v="0"/>
    <s v="Q3"/>
    <x v="1"/>
    <x v="37"/>
    <s v="Paseo"/>
    <x v="5"/>
  </r>
  <r>
    <x v="3"/>
    <x v="3"/>
    <s v="PROD_ID_002"/>
    <s v="High"/>
    <n v="2428"/>
    <n v="20"/>
    <n v="6798.4"/>
    <n v="41761.599999999999"/>
    <n v="17481.599999999999"/>
    <d v="2021-11-29T00:00:00"/>
    <x v="6"/>
    <s v="Q4"/>
    <x v="1"/>
    <x v="3"/>
    <s v="Paseo"/>
    <x v="3"/>
  </r>
  <r>
    <x v="1"/>
    <x v="25"/>
    <s v="PROD_ID_002"/>
    <s v="High"/>
    <n v="1767"/>
    <n v="15"/>
    <n v="3710.7"/>
    <n v="22794.3"/>
    <n v="5124.2999999999993"/>
    <d v="2022-02-20T00:00:00"/>
    <x v="4"/>
    <s v="Q1"/>
    <x v="1"/>
    <x v="25"/>
    <s v="Paseo"/>
    <x v="1"/>
  </r>
  <r>
    <x v="4"/>
    <x v="24"/>
    <s v="PROD_ID_002"/>
    <s v="High"/>
    <n v="1393"/>
    <n v="12"/>
    <n v="2340.2399999999998"/>
    <n v="14375.76"/>
    <n v="10196.76"/>
    <d v="2021-11-24T00:00:00"/>
    <x v="6"/>
    <s v="Q4"/>
    <x v="1"/>
    <x v="24"/>
    <s v="Paseo"/>
    <x v="0"/>
  </r>
  <r>
    <x v="3"/>
    <x v="55"/>
    <s v="PROD_ID_004"/>
    <s v="High"/>
    <n v="280"/>
    <n v="7"/>
    <n v="274.39999999999998"/>
    <n v="1685.6"/>
    <n v="285.59999999999991"/>
    <d v="2021-10-24T00:00:00"/>
    <x v="9"/>
    <s v="Q4"/>
    <x v="1"/>
    <x v="55"/>
    <s v="VTT"/>
    <x v="7"/>
  </r>
  <r>
    <x v="4"/>
    <x v="82"/>
    <s v="PROD_ID_006"/>
    <s v="High"/>
    <n v="1393"/>
    <n v="12"/>
    <n v="2340.2399999999998"/>
    <n v="14375.76"/>
    <n v="10196.76"/>
    <d v="2022-11-30T00:00:00"/>
    <x v="6"/>
    <s v="Q4"/>
    <x v="1"/>
    <x v="78"/>
    <s v="Amarilla"/>
    <x v="2"/>
  </r>
  <r>
    <x v="2"/>
    <x v="10"/>
    <s v="PROD_ID_005"/>
    <s v="High"/>
    <n v="801"/>
    <n v="300"/>
    <n v="33642"/>
    <n v="206658"/>
    <n v="6408"/>
    <d v="2021-02-10T00:00:00"/>
    <x v="4"/>
    <s v="Q1"/>
    <x v="1"/>
    <x v="10"/>
    <s v="Carretera"/>
    <x v="2"/>
  </r>
  <r>
    <x v="2"/>
    <x v="145"/>
    <s v="PROD_ID_005"/>
    <s v="High"/>
    <n v="1496"/>
    <n v="300"/>
    <n v="62832"/>
    <n v="385968"/>
    <n v="11968"/>
    <d v="2021-02-26T00:00:00"/>
    <x v="4"/>
    <s v="Q1"/>
    <x v="1"/>
    <x v="71"/>
    <s v="Carretera"/>
    <x v="1"/>
  </r>
  <r>
    <x v="2"/>
    <x v="133"/>
    <s v="PROD_ID_005"/>
    <s v="High"/>
    <n v="1010"/>
    <n v="300"/>
    <n v="42420"/>
    <n v="260580"/>
    <n v="8080"/>
    <d v="2022-04-25T00:00:00"/>
    <x v="5"/>
    <s v="Q2"/>
    <x v="1"/>
    <x v="49"/>
    <s v="Carretera"/>
    <x v="5"/>
  </r>
  <r>
    <x v="1"/>
    <x v="106"/>
    <s v="PROD_ID_005"/>
    <s v="High"/>
    <n v="1513"/>
    <n v="15"/>
    <n v="3177.3"/>
    <n v="19517.7"/>
    <n v="4387.7000000000007"/>
    <d v="2021-02-24T00:00:00"/>
    <x v="4"/>
    <s v="Q1"/>
    <x v="1"/>
    <x v="93"/>
    <s v="Carretera"/>
    <x v="2"/>
  </r>
  <r>
    <x v="1"/>
    <x v="89"/>
    <s v="PROD_ID_005"/>
    <s v="High"/>
    <n v="2300"/>
    <n v="15"/>
    <n v="4830"/>
    <n v="29670"/>
    <n v="6670"/>
    <d v="2022-06-03T00:00:00"/>
    <x v="11"/>
    <s v="Q2"/>
    <x v="1"/>
    <x v="83"/>
    <s v="Carretera"/>
    <x v="1"/>
  </r>
  <r>
    <x v="3"/>
    <x v="42"/>
    <s v="PROD_ID_001"/>
    <s v="High"/>
    <n v="2227.5"/>
    <n v="350"/>
    <n v="109147.5"/>
    <n v="670477.5"/>
    <n v="91327.5"/>
    <d v="2021-05-13T00:00:00"/>
    <x v="10"/>
    <s v="Q2"/>
    <x v="1"/>
    <x v="42"/>
    <s v="Montana"/>
    <x v="2"/>
  </r>
  <r>
    <x v="3"/>
    <x v="36"/>
    <s v="PROD_ID_001"/>
    <s v="High"/>
    <n v="1199"/>
    <n v="350"/>
    <n v="58751"/>
    <n v="360899"/>
    <n v="49159"/>
    <d v="2021-07-01T00:00:00"/>
    <x v="3"/>
    <s v="Q3"/>
    <x v="1"/>
    <x v="36"/>
    <s v="Montana"/>
    <x v="4"/>
  </r>
  <r>
    <x v="3"/>
    <x v="42"/>
    <s v="PROD_ID_001"/>
    <s v="High"/>
    <n v="200"/>
    <n v="350"/>
    <n v="9800"/>
    <n v="60200"/>
    <n v="8200"/>
    <d v="2022-08-17T00:00:00"/>
    <x v="2"/>
    <s v="Q3"/>
    <x v="1"/>
    <x v="42"/>
    <s v="Montana"/>
    <x v="2"/>
  </r>
  <r>
    <x v="3"/>
    <x v="42"/>
    <s v="PROD_ID_001"/>
    <s v="High"/>
    <n v="388"/>
    <n v="7"/>
    <n v="380.24"/>
    <n v="2335.7600000000002"/>
    <n v="395.76000000000022"/>
    <d v="2022-10-08T00:00:00"/>
    <x v="9"/>
    <s v="Q4"/>
    <x v="1"/>
    <x v="42"/>
    <s v="Montana"/>
    <x v="2"/>
  </r>
  <r>
    <x v="1"/>
    <x v="130"/>
    <s v="PROD_ID_001"/>
    <s v="High"/>
    <n v="2300"/>
    <n v="15"/>
    <n v="4830"/>
    <n v="29670"/>
    <n v="6670"/>
    <d v="2022-02-04T00:00:00"/>
    <x v="4"/>
    <s v="Q1"/>
    <x v="1"/>
    <x v="93"/>
    <s v="Montana"/>
    <x v="2"/>
  </r>
  <r>
    <x v="3"/>
    <x v="39"/>
    <s v="PROD_ID_002"/>
    <s v="High"/>
    <n v="260"/>
    <n v="20"/>
    <n v="728"/>
    <n v="4472"/>
    <n v="1872"/>
    <d v="2021-09-23T00:00:00"/>
    <x v="0"/>
    <s v="Q3"/>
    <x v="1"/>
    <x v="39"/>
    <s v="Paseo"/>
    <x v="7"/>
  </r>
  <r>
    <x v="4"/>
    <x v="4"/>
    <s v="PROD_ID_002"/>
    <s v="High"/>
    <n v="2914"/>
    <n v="12"/>
    <n v="4895.5200000000004"/>
    <n v="30072.48"/>
    <n v="21330.48"/>
    <d v="2022-11-26T00:00:00"/>
    <x v="6"/>
    <s v="Q4"/>
    <x v="1"/>
    <x v="4"/>
    <s v="Paseo"/>
    <x v="4"/>
  </r>
  <r>
    <x v="3"/>
    <x v="51"/>
    <s v="PROD_ID_002"/>
    <s v="High"/>
    <n v="1731"/>
    <n v="7"/>
    <n v="1696.38"/>
    <n v="10420.619999999999"/>
    <n v="1765.619999999999"/>
    <d v="2021-12-17T00:00:00"/>
    <x v="7"/>
    <s v="Q4"/>
    <x v="1"/>
    <x v="51"/>
    <s v="Paseo"/>
    <x v="3"/>
  </r>
  <r>
    <x v="3"/>
    <x v="3"/>
    <s v="PROD_ID_002"/>
    <s v="High"/>
    <n v="700"/>
    <n v="350"/>
    <n v="34300"/>
    <n v="210700"/>
    <n v="28700"/>
    <d v="2021-07-10T00:00:00"/>
    <x v="3"/>
    <s v="Q3"/>
    <x v="1"/>
    <x v="3"/>
    <s v="Paseo"/>
    <x v="3"/>
  </r>
  <r>
    <x v="3"/>
    <x v="26"/>
    <s v="PROD_ID_002"/>
    <s v="High"/>
    <n v="1177"/>
    <n v="350"/>
    <n v="57673"/>
    <n v="354277"/>
    <n v="48257"/>
    <d v="2021-12-13T00:00:00"/>
    <x v="7"/>
    <s v="Q4"/>
    <x v="1"/>
    <x v="26"/>
    <s v="Paseo"/>
    <x v="2"/>
  </r>
  <r>
    <x v="0"/>
    <x v="29"/>
    <s v="PROD_ID_003"/>
    <s v="High"/>
    <n v="1575"/>
    <n v="125"/>
    <n v="27562.5"/>
    <n v="169312.5"/>
    <n v="-19687.5"/>
    <d v="2022-10-08T00:00:00"/>
    <x v="9"/>
    <s v="Q4"/>
    <x v="1"/>
    <x v="29"/>
    <s v="Velo"/>
    <x v="5"/>
  </r>
  <r>
    <x v="3"/>
    <x v="40"/>
    <s v="PROD_ID_003"/>
    <s v="High"/>
    <n v="606"/>
    <n v="20"/>
    <n v="1696.8000000000002"/>
    <n v="10423.200000000001"/>
    <n v="4363.2000000000007"/>
    <d v="2022-09-14T00:00:00"/>
    <x v="0"/>
    <s v="Q3"/>
    <x v="1"/>
    <x v="40"/>
    <s v="Velo"/>
    <x v="0"/>
  </r>
  <r>
    <x v="2"/>
    <x v="85"/>
    <s v="PROD_ID_003"/>
    <s v="High"/>
    <n v="2460"/>
    <n v="300"/>
    <n v="103320"/>
    <n v="634680"/>
    <n v="19680"/>
    <d v="2021-01-20T00:00:00"/>
    <x v="1"/>
    <s v="Q1"/>
    <x v="1"/>
    <x v="49"/>
    <s v="Velo"/>
    <x v="5"/>
  </r>
  <r>
    <x v="3"/>
    <x v="33"/>
    <s v="PROD_ID_004"/>
    <s v="High"/>
    <n v="2903"/>
    <n v="7"/>
    <n v="2844.94"/>
    <n v="17476.060000000001"/>
    <n v="2961.0600000000013"/>
    <d v="2022-02-07T00:00:00"/>
    <x v="4"/>
    <s v="Q1"/>
    <x v="1"/>
    <x v="33"/>
    <s v="VTT"/>
    <x v="1"/>
  </r>
  <r>
    <x v="2"/>
    <x v="74"/>
    <s v="PROD_ID_004"/>
    <s v="High"/>
    <n v="2541"/>
    <n v="300"/>
    <n v="106722"/>
    <n v="655578"/>
    <n v="20328"/>
    <d v="2021-07-09T00:00:00"/>
    <x v="3"/>
    <s v="Q3"/>
    <x v="1"/>
    <x v="72"/>
    <s v="VTT"/>
    <x v="2"/>
  </r>
  <r>
    <x v="2"/>
    <x v="62"/>
    <s v="PROD_ID_004"/>
    <s v="High"/>
    <n v="1496"/>
    <n v="300"/>
    <n v="62832"/>
    <n v="385968"/>
    <n v="11968"/>
    <d v="2022-08-25T00:00:00"/>
    <x v="2"/>
    <s v="Q3"/>
    <x v="1"/>
    <x v="61"/>
    <s v="VTT"/>
    <x v="6"/>
  </r>
  <r>
    <x v="2"/>
    <x v="74"/>
    <s v="PROD_ID_004"/>
    <s v="High"/>
    <n v="1010"/>
    <n v="300"/>
    <n v="42420"/>
    <n v="260580"/>
    <n v="8080"/>
    <d v="2022-05-16T00:00:00"/>
    <x v="10"/>
    <s v="Q2"/>
    <x v="1"/>
    <x v="72"/>
    <s v="VTT"/>
    <x v="2"/>
  </r>
  <r>
    <x v="2"/>
    <x v="127"/>
    <s v="PROD_ID_006"/>
    <s v="High"/>
    <n v="888"/>
    <n v="300"/>
    <n v="37296"/>
    <n v="229104"/>
    <n v="7104"/>
    <d v="2021-11-06T00:00:00"/>
    <x v="6"/>
    <s v="Q4"/>
    <x v="1"/>
    <x v="92"/>
    <s v="Amarilla"/>
    <x v="7"/>
  </r>
  <r>
    <x v="0"/>
    <x v="147"/>
    <s v="PROD_ID_006"/>
    <s v="High"/>
    <n v="2844"/>
    <n v="125"/>
    <n v="49770"/>
    <n v="305730"/>
    <n v="-35550"/>
    <d v="2021-09-19T00:00:00"/>
    <x v="0"/>
    <s v="Q3"/>
    <x v="1"/>
    <x v="73"/>
    <s v="Amarilla"/>
    <x v="3"/>
  </r>
  <r>
    <x v="4"/>
    <x v="82"/>
    <s v="PROD_ID_006"/>
    <s v="High"/>
    <n v="2475"/>
    <n v="12"/>
    <n v="4158"/>
    <n v="25542"/>
    <n v="18117"/>
    <d v="2021-06-10T00:00:00"/>
    <x v="11"/>
    <s v="Q2"/>
    <x v="1"/>
    <x v="78"/>
    <s v="Amarilla"/>
    <x v="2"/>
  </r>
  <r>
    <x v="4"/>
    <x v="17"/>
    <s v="PROD_ID_006"/>
    <s v="High"/>
    <n v="2914"/>
    <n v="12"/>
    <n v="4895.5200000000004"/>
    <n v="30072.48"/>
    <n v="21330.48"/>
    <d v="2022-06-16T00:00:00"/>
    <x v="11"/>
    <s v="Q2"/>
    <x v="1"/>
    <x v="17"/>
    <s v="Amarilla"/>
    <x v="1"/>
  </r>
  <r>
    <x v="3"/>
    <x v="64"/>
    <s v="PROD_ID_006"/>
    <s v="High"/>
    <n v="1731"/>
    <n v="7"/>
    <n v="1696.38"/>
    <n v="10420.619999999999"/>
    <n v="1765.619999999999"/>
    <d v="2021-04-18T00:00:00"/>
    <x v="5"/>
    <s v="Q2"/>
    <x v="1"/>
    <x v="63"/>
    <s v="Amarilla"/>
    <x v="0"/>
  </r>
  <r>
    <x v="0"/>
    <x v="84"/>
    <s v="PROD_ID_005"/>
    <s v="High"/>
    <n v="1174"/>
    <n v="125"/>
    <n v="22012.5"/>
    <n v="124737.5"/>
    <n v="-16142.5"/>
    <d v="2022-06-02T00:00:00"/>
    <x v="11"/>
    <s v="Q2"/>
    <x v="1"/>
    <x v="80"/>
    <s v="Carretera"/>
    <x v="4"/>
  </r>
  <r>
    <x v="0"/>
    <x v="57"/>
    <s v="PROD_ID_005"/>
    <s v="High"/>
    <n v="2767"/>
    <n v="125"/>
    <n v="51881.25"/>
    <n v="293993.75"/>
    <n v="-38046.25"/>
    <d v="2022-12-31T00:00:00"/>
    <x v="7"/>
    <s v="Q4"/>
    <x v="1"/>
    <x v="57"/>
    <s v="Carretera"/>
    <x v="1"/>
  </r>
  <r>
    <x v="0"/>
    <x v="57"/>
    <s v="PROD_ID_005"/>
    <s v="High"/>
    <n v="1085"/>
    <n v="125"/>
    <n v="20343.75"/>
    <n v="115281.25"/>
    <n v="-14918.75"/>
    <d v="2022-06-18T00:00:00"/>
    <x v="11"/>
    <s v="Q2"/>
    <x v="1"/>
    <x v="57"/>
    <s v="Carretera"/>
    <x v="1"/>
  </r>
  <r>
    <x v="2"/>
    <x v="49"/>
    <s v="PROD_ID_001"/>
    <s v="High"/>
    <n v="546"/>
    <n v="300"/>
    <n v="24570"/>
    <n v="139230"/>
    <n v="2730"/>
    <d v="2022-01-14T00:00:00"/>
    <x v="1"/>
    <s v="Q1"/>
    <x v="1"/>
    <x v="49"/>
    <s v="Montana"/>
    <x v="1"/>
  </r>
  <r>
    <x v="3"/>
    <x v="71"/>
    <s v="PROD_ID_002"/>
    <s v="High"/>
    <n v="1158"/>
    <n v="20"/>
    <n v="3474"/>
    <n v="19686"/>
    <n v="8106"/>
    <d v="2022-05-18T00:00:00"/>
    <x v="10"/>
    <s v="Q2"/>
    <x v="1"/>
    <x v="69"/>
    <s v="Paseo"/>
    <x v="7"/>
  </r>
  <r>
    <x v="1"/>
    <x v="5"/>
    <s v="PROD_ID_002"/>
    <s v="High"/>
    <n v="1614"/>
    <n v="15"/>
    <n v="3631.5"/>
    <n v="20578.5"/>
    <n v="4438.5"/>
    <d v="2022-10-10T00:00:00"/>
    <x v="9"/>
    <s v="Q4"/>
    <x v="1"/>
    <x v="5"/>
    <s v="Paseo"/>
    <x v="5"/>
  </r>
  <r>
    <x v="3"/>
    <x v="39"/>
    <s v="PROD_ID_002"/>
    <s v="High"/>
    <n v="2535"/>
    <n v="7"/>
    <n v="2661.75"/>
    <n v="15083.25"/>
    <n v="2408.25"/>
    <d v="2022-03-21T00:00:00"/>
    <x v="8"/>
    <s v="Q1"/>
    <x v="1"/>
    <x v="39"/>
    <s v="Paseo"/>
    <x v="7"/>
  </r>
  <r>
    <x v="3"/>
    <x v="39"/>
    <s v="PROD_ID_002"/>
    <s v="High"/>
    <n v="2851"/>
    <n v="350"/>
    <n v="149677.5"/>
    <n v="848172.5"/>
    <n v="106912.5"/>
    <d v="2021-03-13T00:00:00"/>
    <x v="8"/>
    <s v="Q1"/>
    <x v="1"/>
    <x v="39"/>
    <s v="Paseo"/>
    <x v="7"/>
  </r>
  <r>
    <x v="1"/>
    <x v="5"/>
    <s v="PROD_ID_002"/>
    <s v="High"/>
    <n v="2559"/>
    <n v="15"/>
    <n v="5757.75"/>
    <n v="32627.25"/>
    <n v="7037.25"/>
    <d v="2022-10-06T00:00:00"/>
    <x v="9"/>
    <s v="Q4"/>
    <x v="1"/>
    <x v="5"/>
    <s v="Paseo"/>
    <x v="5"/>
  </r>
  <r>
    <x v="0"/>
    <x v="22"/>
    <s v="PROD_ID_002"/>
    <s v="High"/>
    <n v="1085"/>
    <n v="125"/>
    <n v="20343.75"/>
    <n v="115281.25"/>
    <n v="-14918.75"/>
    <d v="2021-12-30T00:00:00"/>
    <x v="7"/>
    <s v="Q4"/>
    <x v="1"/>
    <x v="22"/>
    <s v="Paseo"/>
    <x v="6"/>
  </r>
  <r>
    <x v="1"/>
    <x v="37"/>
    <s v="PROD_ID_002"/>
    <s v="High"/>
    <n v="1175"/>
    <n v="15"/>
    <n v="2643.75"/>
    <n v="14981.25"/>
    <n v="3231.25"/>
    <d v="2021-07-16T00:00:00"/>
    <x v="3"/>
    <s v="Q3"/>
    <x v="1"/>
    <x v="37"/>
    <s v="Paseo"/>
    <x v="5"/>
  </r>
  <r>
    <x v="4"/>
    <x v="4"/>
    <s v="PROD_ID_002"/>
    <s v="High"/>
    <n v="914"/>
    <n v="12"/>
    <n v="1645.2"/>
    <n v="9322.7999999999993"/>
    <n v="6580.7999999999993"/>
    <d v="2021-11-16T00:00:00"/>
    <x v="6"/>
    <s v="Q4"/>
    <x v="1"/>
    <x v="4"/>
    <s v="Paseo"/>
    <x v="4"/>
  </r>
  <r>
    <x v="3"/>
    <x v="51"/>
    <s v="PROD_ID_002"/>
    <s v="High"/>
    <n v="293"/>
    <n v="20"/>
    <n v="879"/>
    <n v="4981"/>
    <n v="2051"/>
    <d v="2021-10-15T00:00:00"/>
    <x v="9"/>
    <s v="Q4"/>
    <x v="1"/>
    <x v="51"/>
    <s v="Paseo"/>
    <x v="3"/>
  </r>
  <r>
    <x v="4"/>
    <x v="123"/>
    <s v="PROD_ID_003"/>
    <s v="High"/>
    <n v="500"/>
    <n v="12"/>
    <n v="900"/>
    <n v="5100"/>
    <n v="3600"/>
    <d v="2022-02-07T00:00:00"/>
    <x v="4"/>
    <s v="Q1"/>
    <x v="1"/>
    <x v="73"/>
    <s v="Velo"/>
    <x v="3"/>
  </r>
  <r>
    <x v="1"/>
    <x v="149"/>
    <s v="PROD_ID_003"/>
    <s v="High"/>
    <n v="2826"/>
    <n v="15"/>
    <n v="6358.5"/>
    <n v="36031.5"/>
    <n v="7771.5"/>
    <d v="2022-11-13T00:00:00"/>
    <x v="6"/>
    <s v="Q4"/>
    <x v="1"/>
    <x v="90"/>
    <s v="Velo"/>
    <x v="5"/>
  </r>
  <r>
    <x v="0"/>
    <x v="52"/>
    <s v="PROD_ID_003"/>
    <s v="High"/>
    <n v="663"/>
    <n v="125"/>
    <n v="12431.25"/>
    <n v="70443.75"/>
    <n v="-9116.25"/>
    <d v="2021-04-19T00:00:00"/>
    <x v="5"/>
    <s v="Q2"/>
    <x v="1"/>
    <x v="52"/>
    <s v="Velo"/>
    <x v="4"/>
  </r>
  <r>
    <x v="4"/>
    <x v="131"/>
    <s v="PROD_ID_003"/>
    <s v="High"/>
    <n v="914"/>
    <n v="12"/>
    <n v="1645.2"/>
    <n v="9322.7999999999993"/>
    <n v="6580.7999999999993"/>
    <d v="2022-05-12T00:00:00"/>
    <x v="10"/>
    <s v="Q2"/>
    <x v="1"/>
    <x v="79"/>
    <s v="Velo"/>
    <x v="3"/>
  </r>
  <r>
    <x v="3"/>
    <x v="54"/>
    <s v="PROD_ID_004"/>
    <s v="High"/>
    <n v="865.5"/>
    <n v="20"/>
    <n v="2596.5"/>
    <n v="14713.5"/>
    <n v="6058.5"/>
    <d v="2022-06-24T00:00:00"/>
    <x v="11"/>
    <s v="Q2"/>
    <x v="1"/>
    <x v="54"/>
    <s v="VTT"/>
    <x v="6"/>
  </r>
  <r>
    <x v="1"/>
    <x v="38"/>
    <s v="PROD_ID_004"/>
    <s v="High"/>
    <n v="492"/>
    <n v="15"/>
    <n v="1107"/>
    <n v="6273"/>
    <n v="1353"/>
    <d v="2021-10-15T00:00:00"/>
    <x v="9"/>
    <s v="Q4"/>
    <x v="1"/>
    <x v="38"/>
    <s v="VTT"/>
    <x v="6"/>
  </r>
  <r>
    <x v="1"/>
    <x v="38"/>
    <s v="PROD_ID_004"/>
    <s v="High"/>
    <n v="1175"/>
    <n v="15"/>
    <n v="2643.75"/>
    <n v="14981.25"/>
    <n v="3231.25"/>
    <d v="2022-04-09T00:00:00"/>
    <x v="5"/>
    <s v="Q2"/>
    <x v="1"/>
    <x v="38"/>
    <s v="VTT"/>
    <x v="6"/>
  </r>
  <r>
    <x v="0"/>
    <x v="129"/>
    <s v="PROD_ID_004"/>
    <s v="High"/>
    <n v="552"/>
    <n v="125"/>
    <n v="10350"/>
    <n v="58650"/>
    <n v="-7590"/>
    <d v="2022-12-27T00:00:00"/>
    <x v="7"/>
    <s v="Q4"/>
    <x v="1"/>
    <x v="57"/>
    <s v="VTT"/>
    <x v="1"/>
  </r>
  <r>
    <x v="3"/>
    <x v="7"/>
    <s v="PROD_ID_004"/>
    <s v="High"/>
    <n v="293"/>
    <n v="20"/>
    <n v="879"/>
    <n v="4981"/>
    <n v="2051"/>
    <d v="2021-12-10T00:00:00"/>
    <x v="7"/>
    <s v="Q4"/>
    <x v="1"/>
    <x v="7"/>
    <s v="VTT"/>
    <x v="7"/>
  </r>
  <r>
    <x v="2"/>
    <x v="148"/>
    <s v="PROD_ID_006"/>
    <s v="High"/>
    <n v="2475"/>
    <n v="300"/>
    <n v="111375"/>
    <n v="631125"/>
    <n v="12375"/>
    <d v="2021-03-28T00:00:00"/>
    <x v="8"/>
    <s v="Q1"/>
    <x v="1"/>
    <x v="52"/>
    <s v="Amarilla"/>
    <x v="4"/>
  </r>
  <r>
    <x v="2"/>
    <x v="126"/>
    <s v="PROD_ID_006"/>
    <s v="High"/>
    <n v="546"/>
    <n v="300"/>
    <n v="24570"/>
    <n v="139230"/>
    <n v="2730"/>
    <d v="2021-12-16T00:00:00"/>
    <x v="7"/>
    <s v="Q4"/>
    <x v="1"/>
    <x v="91"/>
    <s v="Amarilla"/>
    <x v="6"/>
  </r>
  <r>
    <x v="3"/>
    <x v="48"/>
    <s v="PROD_ID_001"/>
    <s v="High"/>
    <n v="1368"/>
    <n v="7"/>
    <n v="1436.4"/>
    <n v="8139.6"/>
    <n v="1299.6000000000004"/>
    <d v="2022-04-22T00:00:00"/>
    <x v="5"/>
    <s v="Q2"/>
    <x v="1"/>
    <x v="48"/>
    <s v="Montana"/>
    <x v="0"/>
  </r>
  <r>
    <x v="3"/>
    <x v="3"/>
    <s v="PROD_ID_002"/>
    <s v="High"/>
    <n v="723"/>
    <n v="7"/>
    <n v="759.15000000000009"/>
    <n v="4301.8500000000004"/>
    <n v="686.85000000000014"/>
    <d v="2022-01-28T00:00:00"/>
    <x v="1"/>
    <s v="Q1"/>
    <x v="1"/>
    <x v="3"/>
    <s v="Paseo"/>
    <x v="3"/>
  </r>
  <r>
    <x v="4"/>
    <x v="146"/>
    <s v="PROD_ID_004"/>
    <s v="High"/>
    <n v="1806"/>
    <n v="12"/>
    <n v="3250.8"/>
    <n v="18421.2"/>
    <n v="13003.2"/>
    <d v="2021-03-19T00:00:00"/>
    <x v="8"/>
    <s v="Q1"/>
    <x v="1"/>
    <x v="72"/>
    <s v="VTT"/>
    <x v="2"/>
  </r>
  <r>
    <x v="5"/>
    <x v="150"/>
    <m/>
    <m/>
    <m/>
    <m/>
    <m/>
    <m/>
    <m/>
    <m/>
    <x v="12"/>
    <m/>
    <x v="2"/>
    <x v="94"/>
    <m/>
    <x v="8"/>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E50FC59-1C48-460F-9312-025B905C695B}" sourceName="Month">
  <data>
    <tabular pivotCacheId="1431769337">
      <items count="13">
        <i x="1"/>
        <i x="4"/>
        <i x="8" s="1"/>
        <i x="5"/>
        <i x="10"/>
        <i x="11"/>
        <i x="3"/>
        <i x="2"/>
        <i x="0"/>
        <i x="9"/>
        <i x="6"/>
        <i x="7"/>
        <i x="1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0BF9358-34F0-48F0-89B5-E8AB67986D6D}" sourceName="Country">
  <data>
    <tabular pivotCacheId="1431769337">
      <items count="9">
        <i x="1" s="1"/>
        <i x="2" s="1"/>
        <i x="3" s="1"/>
        <i x="4" s="1"/>
        <i x="6" s="1"/>
        <i x="5" s="1"/>
        <i x="7" s="1"/>
        <i x="0" s="1"/>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5215599-C142-4DAF-991F-E0A7A1FA2377}" sourceName="Year">
  <data>
    <tabular pivotCacheId="1431769337">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82BF1F7E-ADBD-40FF-AFE4-82A1D5325BD6}" cache="Slicer_Month" caption="Month" rowHeight="234950"/>
  <slicer name="Country 1" xr10:uid="{7BAE93A3-9B5B-492D-8B5C-90BCCE2ECCA5}" cache="Slicer_Country" caption="Country" rowHeight="234950"/>
  <slicer name="Year 1" xr10:uid="{6FEB517C-005A-4613-AE76-DF4A5A8DFBF3}"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399994-C7FA-4B21-962B-07316D559B74}" name="Table3" displayName="Table3" ref="A1:P701" totalsRowShown="0" headerRowDxfId="14">
  <autoFilter ref="A1:P701" xr:uid="{53399994-C7FA-4B21-962B-07316D559B74}"/>
  <tableColumns count="16">
    <tableColumn id="1" xr3:uid="{5DA2C2F7-EEB9-427A-9760-9F641B6083E2}" name="Segment"/>
    <tableColumn id="2" xr3:uid="{5B520100-A860-45C6-B364-9D51A9BD92DD}" name="Customer_ID"/>
    <tableColumn id="3" xr3:uid="{D83CCC48-B47A-461B-8EA2-F927AF99C05F}" name="Product_ID"/>
    <tableColumn id="4" xr3:uid="{158CA974-900E-4FDE-A75D-EDA1338D6EA1}" name="Discount Band"/>
    <tableColumn id="5" xr3:uid="{66AB45CF-A310-42C8-9D41-A8912ABE8B52}" name="Units Sold" dataDxfId="13" dataCellStyle="Comma"/>
    <tableColumn id="7" xr3:uid="{746807AF-7C02-410B-AA9B-C470D904CB91}" name="Sale Price" dataDxfId="12" dataCellStyle="Comma"/>
    <tableColumn id="9" xr3:uid="{104167EA-E422-4774-B956-4B36C140EE94}" name="Discounts"/>
    <tableColumn id="10" xr3:uid="{DCEF5F63-00A0-4BBE-88B5-9FC52CE9FD87}" name="Sales" dataDxfId="11" dataCellStyle="Comma"/>
    <tableColumn id="12" xr3:uid="{D84A41A3-4370-4BF9-BD15-26F6A8F5F68C}" name="Profit" dataDxfId="10" dataCellStyle="Comma"/>
    <tableColumn id="13" xr3:uid="{99DFFC76-741A-4785-B95C-D4515358E697}" name="Date" dataDxfId="9"/>
    <tableColumn id="14" xr3:uid="{D2C87CE1-8D3A-4190-9B63-84E5DA80158A}" name="Month" dataDxfId="8"/>
    <tableColumn id="20" xr3:uid="{00040B4C-ACDE-4878-B9D9-F9B6BFCA1252}" name="Quarter" dataDxfId="7"/>
    <tableColumn id="15" xr3:uid="{E905F66B-7952-44D0-8D91-E3991859BDBA}" name="Year"/>
    <tableColumn id="16" xr3:uid="{1B3165FF-A4D1-47E3-9C63-4AC99EF81BFA}" name="Customer_Name" dataDxfId="6"/>
    <tableColumn id="17" xr3:uid="{81851813-2BE4-4FF6-BF0F-14E82153B91A}" name="Product_Name" dataDxfId="5"/>
    <tableColumn id="23" xr3:uid="{BF904181-AD5D-4D36-B316-14EC624E04BF}" name="Country" dataDxfId="4"/>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13D6-48CE-43C9-9D98-80DCC19C1ED2}">
  <dimension ref="A1:P701"/>
  <sheetViews>
    <sheetView tabSelected="1" workbookViewId="0">
      <pane ySplit="1" topLeftCell="A2" activePane="bottomLeft" state="frozen"/>
      <selection pane="bottomLeft" activeCell="Q8" sqref="Q8"/>
    </sheetView>
  </sheetViews>
  <sheetFormatPr defaultRowHeight="14.4" x14ac:dyDescent="0.3"/>
  <cols>
    <col min="1" max="1" width="14.88671875" bestFit="1" customWidth="1"/>
    <col min="2" max="2" width="14.109375" bestFit="1" customWidth="1"/>
    <col min="3" max="3" width="12.6640625" bestFit="1" customWidth="1"/>
    <col min="4" max="4" width="15.44140625" bestFit="1" customWidth="1"/>
    <col min="5" max="5" width="11.6640625" bestFit="1" customWidth="1"/>
    <col min="6" max="6" width="11.88671875" customWidth="1"/>
    <col min="7" max="7" width="11.33203125" bestFit="1" customWidth="1"/>
    <col min="8" max="8" width="12.33203125" bestFit="1" customWidth="1"/>
    <col min="9" max="9" width="11.33203125" bestFit="1" customWidth="1"/>
    <col min="10" max="10" width="10.33203125" bestFit="1" customWidth="1"/>
    <col min="11" max="11" width="9" bestFit="1" customWidth="1"/>
    <col min="12" max="12" width="9.6640625" bestFit="1" customWidth="1"/>
    <col min="13" max="13" width="6.88671875" bestFit="1" customWidth="1"/>
    <col min="14" max="14" width="17.44140625" bestFit="1" customWidth="1"/>
    <col min="15" max="15" width="16" bestFit="1" customWidth="1"/>
    <col min="16" max="16" width="10" bestFit="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s="2">
        <v>345</v>
      </c>
      <c r="F2" s="2">
        <v>125</v>
      </c>
      <c r="G2">
        <v>0</v>
      </c>
      <c r="H2" s="2">
        <f>43125</f>
        <v>43125</v>
      </c>
      <c r="I2" s="2">
        <v>1725</v>
      </c>
      <c r="J2" s="3">
        <v>44461</v>
      </c>
      <c r="K2" t="s">
        <v>20</v>
      </c>
      <c r="L2" t="s">
        <v>21</v>
      </c>
      <c r="M2">
        <v>2021</v>
      </c>
      <c r="N2" t="s">
        <v>22</v>
      </c>
      <c r="O2" t="s">
        <v>23</v>
      </c>
      <c r="P2" t="s">
        <v>24</v>
      </c>
    </row>
    <row r="3" spans="1:16" x14ac:dyDescent="0.3">
      <c r="A3" t="s">
        <v>25</v>
      </c>
      <c r="B3" t="s">
        <v>26</v>
      </c>
      <c r="C3" t="s">
        <v>27</v>
      </c>
      <c r="D3" t="s">
        <v>19</v>
      </c>
      <c r="E3" s="2">
        <v>549</v>
      </c>
      <c r="F3" s="2">
        <v>15</v>
      </c>
      <c r="G3">
        <v>0</v>
      </c>
      <c r="H3" s="2">
        <f>8235</f>
        <v>8235</v>
      </c>
      <c r="I3" s="2">
        <v>2745</v>
      </c>
      <c r="J3" s="3">
        <v>44207</v>
      </c>
      <c r="K3" t="s">
        <v>28</v>
      </c>
      <c r="L3" t="s">
        <v>29</v>
      </c>
      <c r="M3">
        <v>2021</v>
      </c>
      <c r="N3" t="s">
        <v>30</v>
      </c>
      <c r="O3" t="s">
        <v>31</v>
      </c>
      <c r="P3" t="s">
        <v>32</v>
      </c>
    </row>
    <row r="4" spans="1:16" x14ac:dyDescent="0.3">
      <c r="A4" t="s">
        <v>33</v>
      </c>
      <c r="B4" t="s">
        <v>34</v>
      </c>
      <c r="C4" t="s">
        <v>27</v>
      </c>
      <c r="D4" t="s">
        <v>19</v>
      </c>
      <c r="E4" s="2">
        <v>788</v>
      </c>
      <c r="F4" s="2">
        <v>300</v>
      </c>
      <c r="G4">
        <v>0</v>
      </c>
      <c r="H4" s="2">
        <v>236400</v>
      </c>
      <c r="I4" s="2">
        <v>39400</v>
      </c>
      <c r="J4" s="3">
        <v>44588</v>
      </c>
      <c r="K4" t="s">
        <v>28</v>
      </c>
      <c r="L4" t="s">
        <v>29</v>
      </c>
      <c r="M4">
        <v>2021</v>
      </c>
      <c r="N4" t="s">
        <v>35</v>
      </c>
      <c r="O4" t="s">
        <v>31</v>
      </c>
      <c r="P4" t="s">
        <v>36</v>
      </c>
    </row>
    <row r="5" spans="1:16" x14ac:dyDescent="0.3">
      <c r="A5" t="s">
        <v>37</v>
      </c>
      <c r="B5" t="s">
        <v>38</v>
      </c>
      <c r="C5" t="s">
        <v>27</v>
      </c>
      <c r="D5" t="s">
        <v>19</v>
      </c>
      <c r="E5" s="2">
        <v>1725</v>
      </c>
      <c r="F5" s="2">
        <v>350</v>
      </c>
      <c r="G5">
        <v>0</v>
      </c>
      <c r="H5" s="2">
        <v>603750</v>
      </c>
      <c r="I5" s="2">
        <v>155250</v>
      </c>
      <c r="J5" s="3">
        <v>44409</v>
      </c>
      <c r="K5" t="s">
        <v>39</v>
      </c>
      <c r="L5" t="s">
        <v>21</v>
      </c>
      <c r="M5">
        <v>2021</v>
      </c>
      <c r="N5" t="s">
        <v>40</v>
      </c>
      <c r="O5" t="s">
        <v>31</v>
      </c>
      <c r="P5" t="s">
        <v>41</v>
      </c>
    </row>
    <row r="6" spans="1:16" x14ac:dyDescent="0.3">
      <c r="A6" t="s">
        <v>42</v>
      </c>
      <c r="B6" t="s">
        <v>43</v>
      </c>
      <c r="C6" t="s">
        <v>27</v>
      </c>
      <c r="D6" t="s">
        <v>19</v>
      </c>
      <c r="E6" s="2">
        <v>912</v>
      </c>
      <c r="F6" s="2">
        <v>12</v>
      </c>
      <c r="G6">
        <v>0</v>
      </c>
      <c r="H6" s="2">
        <f>10944</f>
        <v>10944</v>
      </c>
      <c r="I6" s="2">
        <v>8208</v>
      </c>
      <c r="J6" s="3">
        <v>44750</v>
      </c>
      <c r="K6" t="s">
        <v>44</v>
      </c>
      <c r="L6" t="s">
        <v>21</v>
      </c>
      <c r="M6">
        <v>2021</v>
      </c>
      <c r="N6" t="s">
        <v>45</v>
      </c>
      <c r="O6" t="s">
        <v>31</v>
      </c>
      <c r="P6" t="s">
        <v>46</v>
      </c>
    </row>
    <row r="7" spans="1:16" x14ac:dyDescent="0.3">
      <c r="A7" t="s">
        <v>25</v>
      </c>
      <c r="B7" t="s">
        <v>47</v>
      </c>
      <c r="C7" t="s">
        <v>27</v>
      </c>
      <c r="D7" t="s">
        <v>19</v>
      </c>
      <c r="E7" s="2">
        <v>2152</v>
      </c>
      <c r="F7" s="2">
        <v>15</v>
      </c>
      <c r="G7">
        <v>0</v>
      </c>
      <c r="H7" s="2">
        <v>32280</v>
      </c>
      <c r="I7" s="2">
        <v>10760</v>
      </c>
      <c r="J7" s="3">
        <v>44832</v>
      </c>
      <c r="K7" t="s">
        <v>20</v>
      </c>
      <c r="L7" t="s">
        <v>21</v>
      </c>
      <c r="M7">
        <v>2021</v>
      </c>
      <c r="N7" t="s">
        <v>48</v>
      </c>
      <c r="O7" t="s">
        <v>31</v>
      </c>
      <c r="P7" t="s">
        <v>49</v>
      </c>
    </row>
    <row r="8" spans="1:16" x14ac:dyDescent="0.3">
      <c r="A8" t="s">
        <v>16</v>
      </c>
      <c r="B8" t="s">
        <v>50</v>
      </c>
      <c r="C8" t="s">
        <v>51</v>
      </c>
      <c r="D8" t="s">
        <v>19</v>
      </c>
      <c r="E8" s="2">
        <v>345</v>
      </c>
      <c r="F8" s="2">
        <v>125</v>
      </c>
      <c r="G8">
        <v>0</v>
      </c>
      <c r="H8" s="2">
        <v>43125</v>
      </c>
      <c r="I8" s="2">
        <v>1725</v>
      </c>
      <c r="J8" s="3">
        <v>44465</v>
      </c>
      <c r="K8" t="s">
        <v>20</v>
      </c>
      <c r="L8" t="s">
        <v>21</v>
      </c>
      <c r="M8">
        <v>2021</v>
      </c>
      <c r="N8" t="s">
        <v>52</v>
      </c>
      <c r="O8" t="s">
        <v>53</v>
      </c>
      <c r="P8" t="s">
        <v>54</v>
      </c>
    </row>
    <row r="9" spans="1:16" x14ac:dyDescent="0.3">
      <c r="A9" t="s">
        <v>37</v>
      </c>
      <c r="B9" t="s">
        <v>55</v>
      </c>
      <c r="C9" t="s">
        <v>56</v>
      </c>
      <c r="D9" t="s">
        <v>19</v>
      </c>
      <c r="E9" s="2">
        <v>1527</v>
      </c>
      <c r="F9" s="2">
        <v>350</v>
      </c>
      <c r="G9">
        <v>0</v>
      </c>
      <c r="H9" s="2">
        <v>534450</v>
      </c>
      <c r="I9" s="2">
        <v>137430</v>
      </c>
      <c r="J9" s="3">
        <v>44238</v>
      </c>
      <c r="K9" t="s">
        <v>57</v>
      </c>
      <c r="L9" t="s">
        <v>29</v>
      </c>
      <c r="M9">
        <v>2021</v>
      </c>
      <c r="N9" t="s">
        <v>58</v>
      </c>
      <c r="O9" t="s">
        <v>59</v>
      </c>
      <c r="P9" t="s">
        <v>60</v>
      </c>
    </row>
    <row r="10" spans="1:16" x14ac:dyDescent="0.3">
      <c r="A10" t="s">
        <v>16</v>
      </c>
      <c r="B10" t="s">
        <v>61</v>
      </c>
      <c r="C10" t="s">
        <v>62</v>
      </c>
      <c r="D10" t="s">
        <v>63</v>
      </c>
      <c r="E10" s="2">
        <v>330</v>
      </c>
      <c r="F10" s="2">
        <v>125</v>
      </c>
      <c r="G10">
        <v>412.5</v>
      </c>
      <c r="H10" s="2">
        <v>40837.5</v>
      </c>
      <c r="I10" s="2">
        <v>1237.5</v>
      </c>
      <c r="J10" s="3">
        <v>44573</v>
      </c>
      <c r="K10" t="s">
        <v>28</v>
      </c>
      <c r="L10" t="s">
        <v>29</v>
      </c>
      <c r="M10">
        <v>2021</v>
      </c>
      <c r="N10" t="s">
        <v>64</v>
      </c>
      <c r="O10" t="s">
        <v>65</v>
      </c>
      <c r="P10" t="s">
        <v>24</v>
      </c>
    </row>
    <row r="11" spans="1:16" x14ac:dyDescent="0.3">
      <c r="A11" t="s">
        <v>42</v>
      </c>
      <c r="B11" t="s">
        <v>66</v>
      </c>
      <c r="C11" t="s">
        <v>62</v>
      </c>
      <c r="D11" t="s">
        <v>63</v>
      </c>
      <c r="E11" s="2">
        <v>766</v>
      </c>
      <c r="F11" s="2">
        <v>12</v>
      </c>
      <c r="G11">
        <v>91.92</v>
      </c>
      <c r="H11" s="2">
        <v>9100.08</v>
      </c>
      <c r="I11" s="2">
        <v>6802.08</v>
      </c>
      <c r="J11" s="3">
        <v>44657</v>
      </c>
      <c r="K11" t="s">
        <v>67</v>
      </c>
      <c r="L11" t="s">
        <v>68</v>
      </c>
      <c r="M11">
        <v>2021</v>
      </c>
      <c r="N11" t="s">
        <v>69</v>
      </c>
      <c r="O11" t="s">
        <v>65</v>
      </c>
      <c r="P11" t="s">
        <v>32</v>
      </c>
    </row>
    <row r="12" spans="1:16" x14ac:dyDescent="0.3">
      <c r="A12" t="s">
        <v>33</v>
      </c>
      <c r="B12" t="s">
        <v>70</v>
      </c>
      <c r="C12" t="s">
        <v>62</v>
      </c>
      <c r="D12" t="s">
        <v>63</v>
      </c>
      <c r="E12" s="2">
        <v>494</v>
      </c>
      <c r="F12" s="2">
        <v>300</v>
      </c>
      <c r="G12">
        <v>1482</v>
      </c>
      <c r="H12" s="2">
        <v>146718</v>
      </c>
      <c r="I12" s="2">
        <v>23218</v>
      </c>
      <c r="J12" s="3">
        <v>44519</v>
      </c>
      <c r="K12" t="s">
        <v>71</v>
      </c>
      <c r="L12" t="s">
        <v>72</v>
      </c>
      <c r="M12">
        <v>2021</v>
      </c>
      <c r="N12" t="s">
        <v>73</v>
      </c>
      <c r="O12" t="s">
        <v>65</v>
      </c>
      <c r="P12" t="s">
        <v>36</v>
      </c>
    </row>
    <row r="13" spans="1:16" x14ac:dyDescent="0.3">
      <c r="A13" t="s">
        <v>33</v>
      </c>
      <c r="B13" t="s">
        <v>74</v>
      </c>
      <c r="C13" t="s">
        <v>18</v>
      </c>
      <c r="D13" t="s">
        <v>63</v>
      </c>
      <c r="E13" s="2">
        <v>2498</v>
      </c>
      <c r="F13" s="2">
        <v>300</v>
      </c>
      <c r="G13">
        <v>7494</v>
      </c>
      <c r="H13" s="2">
        <v>741906</v>
      </c>
      <c r="I13" s="2">
        <v>117406</v>
      </c>
      <c r="J13" s="3">
        <v>44550</v>
      </c>
      <c r="K13" t="s">
        <v>75</v>
      </c>
      <c r="L13" t="s">
        <v>72</v>
      </c>
      <c r="M13">
        <v>2021</v>
      </c>
      <c r="N13" t="s">
        <v>76</v>
      </c>
      <c r="O13" t="s">
        <v>23</v>
      </c>
      <c r="P13" t="s">
        <v>41</v>
      </c>
    </row>
    <row r="14" spans="1:16" x14ac:dyDescent="0.3">
      <c r="A14" t="s">
        <v>16</v>
      </c>
      <c r="B14" t="s">
        <v>77</v>
      </c>
      <c r="C14" t="s">
        <v>18</v>
      </c>
      <c r="D14" t="s">
        <v>63</v>
      </c>
      <c r="E14" s="2">
        <v>663</v>
      </c>
      <c r="F14" s="2">
        <v>125</v>
      </c>
      <c r="G14">
        <v>828.75</v>
      </c>
      <c r="H14" s="2">
        <v>82046.25</v>
      </c>
      <c r="I14" s="2">
        <v>2486.25</v>
      </c>
      <c r="J14" s="3">
        <v>44254</v>
      </c>
      <c r="K14" t="s">
        <v>57</v>
      </c>
      <c r="L14" t="s">
        <v>29</v>
      </c>
      <c r="M14">
        <v>2021</v>
      </c>
      <c r="N14" t="s">
        <v>78</v>
      </c>
      <c r="O14" t="s">
        <v>23</v>
      </c>
      <c r="P14" t="s">
        <v>46</v>
      </c>
    </row>
    <row r="15" spans="1:16" x14ac:dyDescent="0.3">
      <c r="A15" t="s">
        <v>42</v>
      </c>
      <c r="B15" t="s">
        <v>79</v>
      </c>
      <c r="C15" t="s">
        <v>27</v>
      </c>
      <c r="D15" t="s">
        <v>63</v>
      </c>
      <c r="E15" s="2">
        <v>766</v>
      </c>
      <c r="F15" s="2">
        <v>12</v>
      </c>
      <c r="G15">
        <v>91.92</v>
      </c>
      <c r="H15" s="2">
        <v>9100.08</v>
      </c>
      <c r="I15" s="2">
        <v>6802.08</v>
      </c>
      <c r="J15" s="3">
        <v>44752</v>
      </c>
      <c r="K15" t="s">
        <v>44</v>
      </c>
      <c r="L15" t="s">
        <v>21</v>
      </c>
      <c r="M15">
        <v>2021</v>
      </c>
      <c r="N15" t="s">
        <v>80</v>
      </c>
      <c r="O15" t="s">
        <v>31</v>
      </c>
      <c r="P15" t="s">
        <v>49</v>
      </c>
    </row>
    <row r="16" spans="1:16" x14ac:dyDescent="0.3">
      <c r="A16" t="s">
        <v>16</v>
      </c>
      <c r="B16" t="s">
        <v>81</v>
      </c>
      <c r="C16" t="s">
        <v>51</v>
      </c>
      <c r="D16" t="s">
        <v>63</v>
      </c>
      <c r="E16" s="2">
        <v>663</v>
      </c>
      <c r="F16" s="2">
        <v>125</v>
      </c>
      <c r="G16">
        <v>828.75</v>
      </c>
      <c r="H16" s="2">
        <v>82046.25</v>
      </c>
      <c r="I16" s="2">
        <v>2486.25</v>
      </c>
      <c r="J16" s="3">
        <v>44649</v>
      </c>
      <c r="K16" t="s">
        <v>82</v>
      </c>
      <c r="L16" t="s">
        <v>29</v>
      </c>
      <c r="M16">
        <v>2021</v>
      </c>
      <c r="N16" t="s">
        <v>83</v>
      </c>
      <c r="O16" t="s">
        <v>53</v>
      </c>
      <c r="P16" t="s">
        <v>54</v>
      </c>
    </row>
    <row r="17" spans="1:16" x14ac:dyDescent="0.3">
      <c r="A17" t="s">
        <v>37</v>
      </c>
      <c r="B17" t="s">
        <v>84</v>
      </c>
      <c r="C17" t="s">
        <v>51</v>
      </c>
      <c r="D17" t="s">
        <v>63</v>
      </c>
      <c r="E17" s="2">
        <v>2092</v>
      </c>
      <c r="F17" s="2">
        <v>7</v>
      </c>
      <c r="G17">
        <v>146.44</v>
      </c>
      <c r="H17" s="2">
        <v>14497.56</v>
      </c>
      <c r="I17" s="2">
        <v>4037.5599999999995</v>
      </c>
      <c r="J17" s="3">
        <v>44853</v>
      </c>
      <c r="K17" t="s">
        <v>85</v>
      </c>
      <c r="L17" t="s">
        <v>72</v>
      </c>
      <c r="M17">
        <v>2021</v>
      </c>
      <c r="N17" t="s">
        <v>86</v>
      </c>
      <c r="O17" t="s">
        <v>53</v>
      </c>
      <c r="P17" t="s">
        <v>60</v>
      </c>
    </row>
    <row r="18" spans="1:16" x14ac:dyDescent="0.3">
      <c r="A18" t="s">
        <v>33</v>
      </c>
      <c r="B18" t="s">
        <v>87</v>
      </c>
      <c r="C18" t="s">
        <v>56</v>
      </c>
      <c r="D18" t="s">
        <v>63</v>
      </c>
      <c r="E18" s="2">
        <v>494</v>
      </c>
      <c r="F18" s="2">
        <v>300</v>
      </c>
      <c r="G18">
        <v>1482</v>
      </c>
      <c r="H18" s="2">
        <v>146718</v>
      </c>
      <c r="I18" s="2">
        <v>23218</v>
      </c>
      <c r="J18" s="3">
        <v>44773</v>
      </c>
      <c r="K18" t="s">
        <v>44</v>
      </c>
      <c r="L18" t="s">
        <v>21</v>
      </c>
      <c r="M18">
        <v>2021</v>
      </c>
      <c r="N18" t="s">
        <v>88</v>
      </c>
      <c r="O18" t="s">
        <v>59</v>
      </c>
      <c r="P18" t="s">
        <v>24</v>
      </c>
    </row>
    <row r="19" spans="1:16" x14ac:dyDescent="0.3">
      <c r="A19" t="s">
        <v>42</v>
      </c>
      <c r="B19" t="s">
        <v>89</v>
      </c>
      <c r="C19" t="s">
        <v>90</v>
      </c>
      <c r="D19" t="s">
        <v>63</v>
      </c>
      <c r="E19" s="2">
        <v>1989</v>
      </c>
      <c r="F19" s="2">
        <v>12</v>
      </c>
      <c r="G19">
        <v>238.68</v>
      </c>
      <c r="H19" s="2">
        <v>23629.32</v>
      </c>
      <c r="I19" s="2">
        <v>17662.32</v>
      </c>
      <c r="J19" s="3">
        <v>44649</v>
      </c>
      <c r="K19" t="s">
        <v>82</v>
      </c>
      <c r="L19" t="s">
        <v>29</v>
      </c>
      <c r="M19">
        <v>2021</v>
      </c>
      <c r="N19" t="s">
        <v>91</v>
      </c>
      <c r="O19" t="s">
        <v>92</v>
      </c>
      <c r="P19" t="s">
        <v>32</v>
      </c>
    </row>
    <row r="20" spans="1:16" x14ac:dyDescent="0.3">
      <c r="A20" t="s">
        <v>25</v>
      </c>
      <c r="B20" t="s">
        <v>93</v>
      </c>
      <c r="C20" t="s">
        <v>90</v>
      </c>
      <c r="D20" t="s">
        <v>63</v>
      </c>
      <c r="E20" s="2">
        <v>321</v>
      </c>
      <c r="F20" s="2">
        <v>15</v>
      </c>
      <c r="G20">
        <v>48.15</v>
      </c>
      <c r="H20" s="2">
        <v>4766.8500000000004</v>
      </c>
      <c r="I20" s="2">
        <v>1556.8500000000004</v>
      </c>
      <c r="J20" s="3">
        <v>44769</v>
      </c>
      <c r="K20" t="s">
        <v>44</v>
      </c>
      <c r="L20" t="s">
        <v>21</v>
      </c>
      <c r="M20">
        <v>2021</v>
      </c>
      <c r="N20" t="s">
        <v>94</v>
      </c>
      <c r="O20" t="s">
        <v>92</v>
      </c>
      <c r="P20" t="s">
        <v>36</v>
      </c>
    </row>
    <row r="21" spans="1:16" x14ac:dyDescent="0.3">
      <c r="A21" t="s">
        <v>33</v>
      </c>
      <c r="B21" t="s">
        <v>95</v>
      </c>
      <c r="C21" t="s">
        <v>62</v>
      </c>
      <c r="D21" t="s">
        <v>63</v>
      </c>
      <c r="E21" s="2">
        <v>214</v>
      </c>
      <c r="F21" s="2">
        <v>300</v>
      </c>
      <c r="G21">
        <v>1284</v>
      </c>
      <c r="H21" s="2">
        <v>62916</v>
      </c>
      <c r="I21" s="2">
        <v>9416</v>
      </c>
      <c r="J21" s="3">
        <v>44438</v>
      </c>
      <c r="K21" t="s">
        <v>39</v>
      </c>
      <c r="L21" t="s">
        <v>21</v>
      </c>
      <c r="M21">
        <v>2021</v>
      </c>
      <c r="N21" t="s">
        <v>96</v>
      </c>
      <c r="O21" t="s">
        <v>65</v>
      </c>
      <c r="P21" t="s">
        <v>41</v>
      </c>
    </row>
    <row r="22" spans="1:16" x14ac:dyDescent="0.3">
      <c r="A22" t="s">
        <v>37</v>
      </c>
      <c r="B22" t="s">
        <v>97</v>
      </c>
      <c r="C22" t="s">
        <v>62</v>
      </c>
      <c r="D22" t="s">
        <v>63</v>
      </c>
      <c r="E22" s="2">
        <v>2145</v>
      </c>
      <c r="F22" s="2">
        <v>7</v>
      </c>
      <c r="G22">
        <v>300.3</v>
      </c>
      <c r="H22" s="2">
        <v>14714.7</v>
      </c>
      <c r="I22" s="2">
        <v>3989.7000000000007</v>
      </c>
      <c r="J22" s="3">
        <v>44484</v>
      </c>
      <c r="K22" t="s">
        <v>85</v>
      </c>
      <c r="L22" t="s">
        <v>72</v>
      </c>
      <c r="M22">
        <v>2021</v>
      </c>
      <c r="N22" t="s">
        <v>98</v>
      </c>
      <c r="O22" t="s">
        <v>65</v>
      </c>
      <c r="P22" t="s">
        <v>46</v>
      </c>
    </row>
    <row r="23" spans="1:16" x14ac:dyDescent="0.3">
      <c r="A23" t="s">
        <v>16</v>
      </c>
      <c r="B23" t="s">
        <v>99</v>
      </c>
      <c r="C23" t="s">
        <v>18</v>
      </c>
      <c r="D23" t="s">
        <v>63</v>
      </c>
      <c r="E23" s="2">
        <v>1660</v>
      </c>
      <c r="F23" s="2">
        <v>125</v>
      </c>
      <c r="G23">
        <v>4150</v>
      </c>
      <c r="H23" s="2">
        <v>203350</v>
      </c>
      <c r="I23" s="2">
        <v>4150</v>
      </c>
      <c r="J23" s="3">
        <v>44864</v>
      </c>
      <c r="K23" t="s">
        <v>85</v>
      </c>
      <c r="L23" t="s">
        <v>72</v>
      </c>
      <c r="M23">
        <v>2021</v>
      </c>
      <c r="N23" t="s">
        <v>100</v>
      </c>
      <c r="O23" t="s">
        <v>23</v>
      </c>
      <c r="P23" t="s">
        <v>49</v>
      </c>
    </row>
    <row r="24" spans="1:16" x14ac:dyDescent="0.3">
      <c r="A24" t="s">
        <v>16</v>
      </c>
      <c r="B24" t="s">
        <v>101</v>
      </c>
      <c r="C24" t="s">
        <v>27</v>
      </c>
      <c r="D24" t="s">
        <v>63</v>
      </c>
      <c r="E24" s="2">
        <v>809</v>
      </c>
      <c r="F24" s="2">
        <v>125</v>
      </c>
      <c r="G24">
        <v>2022.5</v>
      </c>
      <c r="H24" s="2">
        <v>99102.5</v>
      </c>
      <c r="I24" s="2">
        <v>2022.5</v>
      </c>
      <c r="J24" s="3">
        <v>44540</v>
      </c>
      <c r="K24" t="s">
        <v>75</v>
      </c>
      <c r="L24" t="s">
        <v>72</v>
      </c>
      <c r="M24">
        <v>2021</v>
      </c>
      <c r="N24" t="s">
        <v>102</v>
      </c>
      <c r="O24" t="s">
        <v>31</v>
      </c>
      <c r="P24" t="s">
        <v>54</v>
      </c>
    </row>
    <row r="25" spans="1:16" x14ac:dyDescent="0.3">
      <c r="A25" t="s">
        <v>16</v>
      </c>
      <c r="B25" t="s">
        <v>103</v>
      </c>
      <c r="C25" t="s">
        <v>27</v>
      </c>
      <c r="D25" t="s">
        <v>63</v>
      </c>
      <c r="E25" s="2">
        <v>2145</v>
      </c>
      <c r="F25" s="2">
        <v>125</v>
      </c>
      <c r="G25">
        <v>5362.5</v>
      </c>
      <c r="H25" s="2">
        <v>262762.5</v>
      </c>
      <c r="I25" s="2">
        <v>5362.5</v>
      </c>
      <c r="J25" s="3">
        <v>44339</v>
      </c>
      <c r="K25" t="s">
        <v>104</v>
      </c>
      <c r="L25" t="s">
        <v>68</v>
      </c>
      <c r="M25">
        <v>2021</v>
      </c>
      <c r="N25" t="s">
        <v>105</v>
      </c>
      <c r="O25" t="s">
        <v>31</v>
      </c>
      <c r="P25" t="s">
        <v>60</v>
      </c>
    </row>
    <row r="26" spans="1:16" x14ac:dyDescent="0.3">
      <c r="A26" t="s">
        <v>42</v>
      </c>
      <c r="B26" t="s">
        <v>106</v>
      </c>
      <c r="C26" t="s">
        <v>27</v>
      </c>
      <c r="D26" t="s">
        <v>63</v>
      </c>
      <c r="E26" s="2">
        <v>1785</v>
      </c>
      <c r="F26" s="2">
        <v>12</v>
      </c>
      <c r="G26">
        <v>428.4</v>
      </c>
      <c r="H26" s="2">
        <v>20991.599999999999</v>
      </c>
      <c r="I26" s="2">
        <v>15636.599999999999</v>
      </c>
      <c r="J26" s="3">
        <v>44245</v>
      </c>
      <c r="K26" t="s">
        <v>57</v>
      </c>
      <c r="L26" t="s">
        <v>29</v>
      </c>
      <c r="M26">
        <v>2021</v>
      </c>
      <c r="N26" t="s">
        <v>107</v>
      </c>
      <c r="O26" t="s">
        <v>31</v>
      </c>
      <c r="P26" t="s">
        <v>24</v>
      </c>
    </row>
    <row r="27" spans="1:16" x14ac:dyDescent="0.3">
      <c r="A27" t="s">
        <v>25</v>
      </c>
      <c r="B27" t="s">
        <v>108</v>
      </c>
      <c r="C27" t="s">
        <v>27</v>
      </c>
      <c r="D27" t="s">
        <v>63</v>
      </c>
      <c r="E27" s="2">
        <v>1925</v>
      </c>
      <c r="F27" s="2">
        <v>15</v>
      </c>
      <c r="G27">
        <v>577.5</v>
      </c>
      <c r="H27" s="2">
        <v>28297.5</v>
      </c>
      <c r="I27" s="2">
        <v>9047.5</v>
      </c>
      <c r="J27" s="3">
        <v>44224</v>
      </c>
      <c r="K27" t="s">
        <v>28</v>
      </c>
      <c r="L27" t="s">
        <v>29</v>
      </c>
      <c r="M27">
        <v>2021</v>
      </c>
      <c r="N27" t="s">
        <v>109</v>
      </c>
      <c r="O27" t="s">
        <v>31</v>
      </c>
      <c r="P27" t="s">
        <v>32</v>
      </c>
    </row>
    <row r="28" spans="1:16" x14ac:dyDescent="0.3">
      <c r="A28" t="s">
        <v>37</v>
      </c>
      <c r="B28" t="s">
        <v>110</v>
      </c>
      <c r="C28" t="s">
        <v>27</v>
      </c>
      <c r="D28" t="s">
        <v>63</v>
      </c>
      <c r="E28" s="2">
        <v>2013</v>
      </c>
      <c r="F28" s="2">
        <v>7</v>
      </c>
      <c r="G28">
        <v>281.82</v>
      </c>
      <c r="H28" s="2">
        <v>13809.18</v>
      </c>
      <c r="I28" s="2">
        <v>3744.1800000000003</v>
      </c>
      <c r="J28" s="3">
        <v>44916</v>
      </c>
      <c r="K28" t="s">
        <v>75</v>
      </c>
      <c r="L28" t="s">
        <v>72</v>
      </c>
      <c r="M28">
        <v>2021</v>
      </c>
      <c r="N28" t="s">
        <v>111</v>
      </c>
      <c r="O28" t="s">
        <v>31</v>
      </c>
      <c r="P28" t="s">
        <v>36</v>
      </c>
    </row>
    <row r="29" spans="1:16" x14ac:dyDescent="0.3">
      <c r="A29" t="s">
        <v>37</v>
      </c>
      <c r="B29" t="s">
        <v>112</v>
      </c>
      <c r="C29" t="s">
        <v>51</v>
      </c>
      <c r="D29" t="s">
        <v>63</v>
      </c>
      <c r="E29" s="2">
        <v>2966</v>
      </c>
      <c r="F29" s="2">
        <v>350</v>
      </c>
      <c r="G29">
        <v>20762</v>
      </c>
      <c r="H29" s="2">
        <v>1017338</v>
      </c>
      <c r="I29" s="2">
        <v>246178</v>
      </c>
      <c r="J29" s="3">
        <v>44574</v>
      </c>
      <c r="K29" t="s">
        <v>28</v>
      </c>
      <c r="L29" t="s">
        <v>29</v>
      </c>
      <c r="M29">
        <v>2021</v>
      </c>
      <c r="N29" t="s">
        <v>113</v>
      </c>
      <c r="O29" t="s">
        <v>53</v>
      </c>
      <c r="P29" t="s">
        <v>41</v>
      </c>
    </row>
    <row r="30" spans="1:16" x14ac:dyDescent="0.3">
      <c r="A30" t="s">
        <v>16</v>
      </c>
      <c r="B30" t="s">
        <v>114</v>
      </c>
      <c r="C30" t="s">
        <v>51</v>
      </c>
      <c r="D30" t="s">
        <v>63</v>
      </c>
      <c r="E30" s="2">
        <v>809</v>
      </c>
      <c r="F30" s="2">
        <v>125</v>
      </c>
      <c r="G30">
        <v>2022.5</v>
      </c>
      <c r="H30" s="2">
        <v>99102.5</v>
      </c>
      <c r="I30" s="2">
        <v>2022.5</v>
      </c>
      <c r="J30" s="3">
        <v>44873</v>
      </c>
      <c r="K30" t="s">
        <v>71</v>
      </c>
      <c r="L30" t="s">
        <v>72</v>
      </c>
      <c r="M30">
        <v>2021</v>
      </c>
      <c r="N30" t="s">
        <v>115</v>
      </c>
      <c r="O30" t="s">
        <v>53</v>
      </c>
      <c r="P30" t="s">
        <v>46</v>
      </c>
    </row>
    <row r="31" spans="1:16" x14ac:dyDescent="0.3">
      <c r="A31" t="s">
        <v>16</v>
      </c>
      <c r="B31" t="s">
        <v>116</v>
      </c>
      <c r="C31" t="s">
        <v>51</v>
      </c>
      <c r="D31" t="s">
        <v>63</v>
      </c>
      <c r="E31" s="2">
        <v>2145</v>
      </c>
      <c r="F31" s="2">
        <v>125</v>
      </c>
      <c r="G31">
        <v>5362.5</v>
      </c>
      <c r="H31" s="2">
        <v>262762.5</v>
      </c>
      <c r="I31" s="2">
        <v>5362.5</v>
      </c>
      <c r="J31" s="3">
        <v>44215</v>
      </c>
      <c r="K31" t="s">
        <v>28</v>
      </c>
      <c r="L31" t="s">
        <v>29</v>
      </c>
      <c r="M31">
        <v>2021</v>
      </c>
      <c r="N31" t="s">
        <v>117</v>
      </c>
      <c r="O31" t="s">
        <v>53</v>
      </c>
      <c r="P31" t="s">
        <v>49</v>
      </c>
    </row>
    <row r="32" spans="1:16" x14ac:dyDescent="0.3">
      <c r="A32" t="s">
        <v>37</v>
      </c>
      <c r="B32" t="s">
        <v>118</v>
      </c>
      <c r="C32" t="s">
        <v>51</v>
      </c>
      <c r="D32" t="s">
        <v>63</v>
      </c>
      <c r="E32" s="2">
        <v>544</v>
      </c>
      <c r="F32" s="2">
        <v>20</v>
      </c>
      <c r="G32">
        <v>217.6</v>
      </c>
      <c r="H32" s="2">
        <v>10662.4</v>
      </c>
      <c r="I32" s="2">
        <v>5222.3999999999996</v>
      </c>
      <c r="J32" s="3">
        <v>44407</v>
      </c>
      <c r="K32" t="s">
        <v>44</v>
      </c>
      <c r="L32" t="s">
        <v>21</v>
      </c>
      <c r="M32">
        <v>2021</v>
      </c>
      <c r="N32" t="s">
        <v>119</v>
      </c>
      <c r="O32" t="s">
        <v>53</v>
      </c>
      <c r="P32" t="s">
        <v>54</v>
      </c>
    </row>
    <row r="33" spans="1:16" x14ac:dyDescent="0.3">
      <c r="A33" t="s">
        <v>33</v>
      </c>
      <c r="B33" t="s">
        <v>120</v>
      </c>
      <c r="C33" t="s">
        <v>56</v>
      </c>
      <c r="D33" t="s">
        <v>63</v>
      </c>
      <c r="E33" s="2">
        <v>214</v>
      </c>
      <c r="F33" s="2">
        <v>300</v>
      </c>
      <c r="G33">
        <v>1284</v>
      </c>
      <c r="H33" s="2">
        <v>62916</v>
      </c>
      <c r="I33" s="2">
        <v>9416</v>
      </c>
      <c r="J33" s="3">
        <v>44248</v>
      </c>
      <c r="K33" t="s">
        <v>57</v>
      </c>
      <c r="L33" t="s">
        <v>29</v>
      </c>
      <c r="M33">
        <v>2021</v>
      </c>
      <c r="N33" t="s">
        <v>121</v>
      </c>
      <c r="O33" t="s">
        <v>59</v>
      </c>
      <c r="P33" t="s">
        <v>60</v>
      </c>
    </row>
    <row r="34" spans="1:16" x14ac:dyDescent="0.3">
      <c r="A34" t="s">
        <v>37</v>
      </c>
      <c r="B34" t="s">
        <v>122</v>
      </c>
      <c r="C34" t="s">
        <v>56</v>
      </c>
      <c r="D34" t="s">
        <v>63</v>
      </c>
      <c r="E34" s="2">
        <v>266</v>
      </c>
      <c r="F34" s="2">
        <v>350</v>
      </c>
      <c r="G34">
        <v>1862</v>
      </c>
      <c r="H34" s="2">
        <v>91238</v>
      </c>
      <c r="I34" s="2">
        <v>22078</v>
      </c>
      <c r="J34" s="3">
        <v>44589</v>
      </c>
      <c r="K34" t="s">
        <v>28</v>
      </c>
      <c r="L34" t="s">
        <v>29</v>
      </c>
      <c r="M34">
        <v>2021</v>
      </c>
      <c r="N34" t="s">
        <v>123</v>
      </c>
      <c r="O34" t="s">
        <v>59</v>
      </c>
      <c r="P34" t="s">
        <v>24</v>
      </c>
    </row>
    <row r="35" spans="1:16" x14ac:dyDescent="0.3">
      <c r="A35" t="s">
        <v>37</v>
      </c>
      <c r="B35" t="s">
        <v>124</v>
      </c>
      <c r="C35" t="s">
        <v>56</v>
      </c>
      <c r="D35" t="s">
        <v>63</v>
      </c>
      <c r="E35" s="2">
        <v>1940</v>
      </c>
      <c r="F35" s="2">
        <v>350</v>
      </c>
      <c r="G35">
        <v>13580</v>
      </c>
      <c r="H35" s="2">
        <v>665420</v>
      </c>
      <c r="I35" s="2">
        <v>161020</v>
      </c>
      <c r="J35" s="3">
        <v>44573</v>
      </c>
      <c r="K35" t="s">
        <v>28</v>
      </c>
      <c r="L35" t="s">
        <v>29</v>
      </c>
      <c r="M35">
        <v>2021</v>
      </c>
      <c r="N35" t="s">
        <v>125</v>
      </c>
      <c r="O35" t="s">
        <v>59</v>
      </c>
      <c r="P35" t="s">
        <v>32</v>
      </c>
    </row>
    <row r="36" spans="1:16" x14ac:dyDescent="0.3">
      <c r="A36" t="s">
        <v>37</v>
      </c>
      <c r="B36" t="s">
        <v>126</v>
      </c>
      <c r="C36" t="s">
        <v>90</v>
      </c>
      <c r="D36" t="s">
        <v>63</v>
      </c>
      <c r="E36" s="2">
        <v>2966</v>
      </c>
      <c r="F36" s="2">
        <v>350</v>
      </c>
      <c r="G36">
        <v>20762</v>
      </c>
      <c r="H36" s="2">
        <v>1017338</v>
      </c>
      <c r="I36" s="2">
        <v>246178</v>
      </c>
      <c r="J36" s="3">
        <v>44743</v>
      </c>
      <c r="K36" t="s">
        <v>44</v>
      </c>
      <c r="L36" t="s">
        <v>21</v>
      </c>
      <c r="M36">
        <v>2021</v>
      </c>
      <c r="N36" t="s">
        <v>127</v>
      </c>
      <c r="O36" t="s">
        <v>92</v>
      </c>
      <c r="P36" t="s">
        <v>36</v>
      </c>
    </row>
    <row r="37" spans="1:16" x14ac:dyDescent="0.3">
      <c r="A37" t="s">
        <v>42</v>
      </c>
      <c r="B37" t="s">
        <v>128</v>
      </c>
      <c r="C37" t="s">
        <v>62</v>
      </c>
      <c r="D37" t="s">
        <v>63</v>
      </c>
      <c r="E37" s="2">
        <v>908</v>
      </c>
      <c r="F37" s="2">
        <v>12</v>
      </c>
      <c r="G37">
        <v>326.88</v>
      </c>
      <c r="H37" s="2">
        <v>10569.12</v>
      </c>
      <c r="I37" s="2">
        <v>7845.1200000000008</v>
      </c>
      <c r="J37" s="3">
        <v>44906</v>
      </c>
      <c r="K37" t="s">
        <v>75</v>
      </c>
      <c r="L37" t="s">
        <v>72</v>
      </c>
      <c r="M37">
        <v>2021</v>
      </c>
      <c r="N37" t="s">
        <v>129</v>
      </c>
      <c r="O37" t="s">
        <v>65</v>
      </c>
      <c r="P37" t="s">
        <v>41</v>
      </c>
    </row>
    <row r="38" spans="1:16" x14ac:dyDescent="0.3">
      <c r="A38" t="s">
        <v>37</v>
      </c>
      <c r="B38" t="s">
        <v>130</v>
      </c>
      <c r="C38" t="s">
        <v>18</v>
      </c>
      <c r="D38" t="s">
        <v>63</v>
      </c>
      <c r="E38" s="2">
        <v>1797</v>
      </c>
      <c r="F38" s="2">
        <v>350</v>
      </c>
      <c r="G38">
        <v>18868.5</v>
      </c>
      <c r="H38" s="2">
        <v>610081.5</v>
      </c>
      <c r="I38" s="2">
        <v>142861.5</v>
      </c>
      <c r="J38" s="3">
        <v>44332</v>
      </c>
      <c r="K38" t="s">
        <v>104</v>
      </c>
      <c r="L38" t="s">
        <v>68</v>
      </c>
      <c r="M38">
        <v>2021</v>
      </c>
      <c r="N38" t="s">
        <v>131</v>
      </c>
      <c r="O38" t="s">
        <v>23</v>
      </c>
      <c r="P38" t="s">
        <v>46</v>
      </c>
    </row>
    <row r="39" spans="1:16" x14ac:dyDescent="0.3">
      <c r="A39" t="s">
        <v>25</v>
      </c>
      <c r="B39" t="s">
        <v>132</v>
      </c>
      <c r="C39" t="s">
        <v>27</v>
      </c>
      <c r="D39" t="s">
        <v>63</v>
      </c>
      <c r="E39" s="2">
        <v>1945</v>
      </c>
      <c r="F39" s="2">
        <v>15</v>
      </c>
      <c r="G39">
        <v>875.25</v>
      </c>
      <c r="H39" s="2">
        <v>28299.75</v>
      </c>
      <c r="I39" s="2">
        <v>8849.75</v>
      </c>
      <c r="J39" s="3">
        <v>44683</v>
      </c>
      <c r="K39" t="s">
        <v>104</v>
      </c>
      <c r="L39" t="s">
        <v>68</v>
      </c>
      <c r="M39">
        <v>2021</v>
      </c>
      <c r="N39" t="s">
        <v>133</v>
      </c>
      <c r="O39" t="s">
        <v>31</v>
      </c>
      <c r="P39" t="s">
        <v>49</v>
      </c>
    </row>
    <row r="40" spans="1:16" x14ac:dyDescent="0.3">
      <c r="A40" t="s">
        <v>25</v>
      </c>
      <c r="B40" t="s">
        <v>134</v>
      </c>
      <c r="C40" t="s">
        <v>56</v>
      </c>
      <c r="D40" t="s">
        <v>63</v>
      </c>
      <c r="E40" s="2">
        <v>1945</v>
      </c>
      <c r="F40" s="2">
        <v>15</v>
      </c>
      <c r="G40">
        <v>875.25</v>
      </c>
      <c r="H40" s="2">
        <v>28299.75</v>
      </c>
      <c r="I40" s="2">
        <v>8849.75</v>
      </c>
      <c r="J40" s="3">
        <v>44653</v>
      </c>
      <c r="K40" t="s">
        <v>67</v>
      </c>
      <c r="L40" t="s">
        <v>68</v>
      </c>
      <c r="M40">
        <v>2021</v>
      </c>
      <c r="N40" t="s">
        <v>135</v>
      </c>
      <c r="O40" t="s">
        <v>59</v>
      </c>
      <c r="P40" t="s">
        <v>54</v>
      </c>
    </row>
    <row r="41" spans="1:16" x14ac:dyDescent="0.3">
      <c r="A41" t="s">
        <v>37</v>
      </c>
      <c r="B41" t="s">
        <v>136</v>
      </c>
      <c r="C41" t="s">
        <v>27</v>
      </c>
      <c r="D41" t="s">
        <v>63</v>
      </c>
      <c r="E41" s="2">
        <v>1760</v>
      </c>
      <c r="F41" s="2">
        <v>7</v>
      </c>
      <c r="G41">
        <v>369.6</v>
      </c>
      <c r="H41" s="2">
        <v>11950.4</v>
      </c>
      <c r="I41" s="2">
        <v>3150.3999999999996</v>
      </c>
      <c r="J41" s="3">
        <v>44503</v>
      </c>
      <c r="K41" t="s">
        <v>71</v>
      </c>
      <c r="L41" t="s">
        <v>72</v>
      </c>
      <c r="M41">
        <v>2021</v>
      </c>
      <c r="N41" t="s">
        <v>137</v>
      </c>
      <c r="O41" t="s">
        <v>31</v>
      </c>
      <c r="P41" t="s">
        <v>60</v>
      </c>
    </row>
    <row r="42" spans="1:16" x14ac:dyDescent="0.3">
      <c r="A42" t="s">
        <v>25</v>
      </c>
      <c r="B42" t="s">
        <v>26</v>
      </c>
      <c r="C42" t="s">
        <v>27</v>
      </c>
      <c r="D42" t="s">
        <v>63</v>
      </c>
      <c r="E42" s="2">
        <v>2261</v>
      </c>
      <c r="F42" s="2">
        <v>15</v>
      </c>
      <c r="G42">
        <v>1356.6</v>
      </c>
      <c r="H42" s="2">
        <v>32558.400000000001</v>
      </c>
      <c r="I42" s="2">
        <v>9948.4000000000015</v>
      </c>
      <c r="J42" s="3">
        <v>44661</v>
      </c>
      <c r="K42" t="s">
        <v>67</v>
      </c>
      <c r="L42" t="s">
        <v>68</v>
      </c>
      <c r="M42">
        <v>2021</v>
      </c>
      <c r="N42" t="s">
        <v>30</v>
      </c>
      <c r="O42" t="s">
        <v>31</v>
      </c>
      <c r="P42" t="s">
        <v>32</v>
      </c>
    </row>
    <row r="43" spans="1:16" x14ac:dyDescent="0.3">
      <c r="A43" t="s">
        <v>37</v>
      </c>
      <c r="B43" t="s">
        <v>138</v>
      </c>
      <c r="C43" t="s">
        <v>51</v>
      </c>
      <c r="D43" t="s">
        <v>63</v>
      </c>
      <c r="E43" s="2">
        <v>736</v>
      </c>
      <c r="F43" s="2">
        <v>20</v>
      </c>
      <c r="G43">
        <v>588.79999999999995</v>
      </c>
      <c r="H43" s="2">
        <v>14131.2</v>
      </c>
      <c r="I43" s="2">
        <v>6771.2000000000007</v>
      </c>
      <c r="J43" s="3">
        <v>44754</v>
      </c>
      <c r="K43" t="s">
        <v>44</v>
      </c>
      <c r="L43" t="s">
        <v>21</v>
      </c>
      <c r="M43">
        <v>2021</v>
      </c>
      <c r="N43" t="s">
        <v>139</v>
      </c>
      <c r="O43" t="s">
        <v>53</v>
      </c>
      <c r="P43" t="s">
        <v>24</v>
      </c>
    </row>
    <row r="44" spans="1:16" x14ac:dyDescent="0.3">
      <c r="A44" t="s">
        <v>37</v>
      </c>
      <c r="B44" t="s">
        <v>140</v>
      </c>
      <c r="C44" t="s">
        <v>62</v>
      </c>
      <c r="D44" t="s">
        <v>63</v>
      </c>
      <c r="E44" s="2">
        <v>2851</v>
      </c>
      <c r="F44" s="2">
        <v>7</v>
      </c>
      <c r="G44">
        <v>798.28</v>
      </c>
      <c r="H44" s="2">
        <v>19158.72</v>
      </c>
      <c r="I44" s="2">
        <v>4903.7200000000012</v>
      </c>
      <c r="J44" s="3">
        <v>44915</v>
      </c>
      <c r="K44" t="s">
        <v>75</v>
      </c>
      <c r="L44" t="s">
        <v>72</v>
      </c>
      <c r="M44">
        <v>2021</v>
      </c>
      <c r="N44" t="s">
        <v>141</v>
      </c>
      <c r="O44" t="s">
        <v>65</v>
      </c>
      <c r="P44" t="s">
        <v>32</v>
      </c>
    </row>
    <row r="45" spans="1:16" x14ac:dyDescent="0.3">
      <c r="A45" t="s">
        <v>37</v>
      </c>
      <c r="B45" t="s">
        <v>142</v>
      </c>
      <c r="C45" t="s">
        <v>18</v>
      </c>
      <c r="D45" t="s">
        <v>63</v>
      </c>
      <c r="E45" s="2">
        <v>2851</v>
      </c>
      <c r="F45" s="2">
        <v>7</v>
      </c>
      <c r="G45">
        <v>798.28</v>
      </c>
      <c r="H45" s="2">
        <v>19158.72</v>
      </c>
      <c r="I45" s="2">
        <v>4903.7200000000012</v>
      </c>
      <c r="J45" s="3">
        <v>44391</v>
      </c>
      <c r="K45" t="s">
        <v>44</v>
      </c>
      <c r="L45" t="s">
        <v>21</v>
      </c>
      <c r="M45">
        <v>2021</v>
      </c>
      <c r="N45" t="s">
        <v>143</v>
      </c>
      <c r="O45" t="s">
        <v>23</v>
      </c>
      <c r="P45" t="s">
        <v>36</v>
      </c>
    </row>
    <row r="46" spans="1:16" x14ac:dyDescent="0.3">
      <c r="A46" t="s">
        <v>25</v>
      </c>
      <c r="B46" t="s">
        <v>108</v>
      </c>
      <c r="C46" t="s">
        <v>27</v>
      </c>
      <c r="D46" t="s">
        <v>63</v>
      </c>
      <c r="E46" s="2">
        <v>671</v>
      </c>
      <c r="F46" s="2">
        <v>15</v>
      </c>
      <c r="G46">
        <v>402.6</v>
      </c>
      <c r="H46" s="2">
        <v>9662.4</v>
      </c>
      <c r="I46" s="2">
        <v>2952.3999999999996</v>
      </c>
      <c r="J46" s="3">
        <v>44211</v>
      </c>
      <c r="K46" t="s">
        <v>28</v>
      </c>
      <c r="L46" t="s">
        <v>29</v>
      </c>
      <c r="M46">
        <v>2021</v>
      </c>
      <c r="N46" t="s">
        <v>109</v>
      </c>
      <c r="O46" t="s">
        <v>31</v>
      </c>
      <c r="P46" t="s">
        <v>32</v>
      </c>
    </row>
    <row r="47" spans="1:16" x14ac:dyDescent="0.3">
      <c r="A47" t="s">
        <v>25</v>
      </c>
      <c r="B47" t="s">
        <v>144</v>
      </c>
      <c r="C47" t="s">
        <v>27</v>
      </c>
      <c r="D47" t="s">
        <v>63</v>
      </c>
      <c r="E47" s="2">
        <v>1514</v>
      </c>
      <c r="F47" s="2">
        <v>15</v>
      </c>
      <c r="G47">
        <v>908.4</v>
      </c>
      <c r="H47" s="2">
        <v>21801.599999999999</v>
      </c>
      <c r="I47" s="2">
        <v>6661.5999999999985</v>
      </c>
      <c r="J47" s="3">
        <v>44642</v>
      </c>
      <c r="K47" t="s">
        <v>82</v>
      </c>
      <c r="L47" t="s">
        <v>29</v>
      </c>
      <c r="M47">
        <v>2021</v>
      </c>
      <c r="N47" t="s">
        <v>145</v>
      </c>
      <c r="O47" t="s">
        <v>31</v>
      </c>
      <c r="P47" t="s">
        <v>41</v>
      </c>
    </row>
    <row r="48" spans="1:16" x14ac:dyDescent="0.3">
      <c r="A48" t="s">
        <v>37</v>
      </c>
      <c r="B48" t="s">
        <v>84</v>
      </c>
      <c r="C48" t="s">
        <v>51</v>
      </c>
      <c r="D48" t="s">
        <v>63</v>
      </c>
      <c r="E48" s="2">
        <v>2646</v>
      </c>
      <c r="F48" s="2">
        <v>20</v>
      </c>
      <c r="G48">
        <v>2116.8000000000002</v>
      </c>
      <c r="H48" s="2">
        <v>50803.199999999997</v>
      </c>
      <c r="I48" s="2">
        <v>24343.199999999997</v>
      </c>
      <c r="J48" s="3">
        <v>44717</v>
      </c>
      <c r="K48" t="s">
        <v>146</v>
      </c>
      <c r="L48" t="s">
        <v>68</v>
      </c>
      <c r="M48">
        <v>2021</v>
      </c>
      <c r="N48" t="s">
        <v>86</v>
      </c>
      <c r="O48" t="s">
        <v>53</v>
      </c>
      <c r="P48" t="s">
        <v>60</v>
      </c>
    </row>
    <row r="49" spans="1:16" x14ac:dyDescent="0.3">
      <c r="A49" t="s">
        <v>37</v>
      </c>
      <c r="B49" t="s">
        <v>122</v>
      </c>
      <c r="C49" t="s">
        <v>56</v>
      </c>
      <c r="D49" t="s">
        <v>63</v>
      </c>
      <c r="E49" s="2">
        <v>349</v>
      </c>
      <c r="F49" s="2">
        <v>350</v>
      </c>
      <c r="G49">
        <v>4886</v>
      </c>
      <c r="H49" s="2">
        <v>117264</v>
      </c>
      <c r="I49" s="2">
        <v>26524</v>
      </c>
      <c r="J49" s="3">
        <v>44243</v>
      </c>
      <c r="K49" t="s">
        <v>57</v>
      </c>
      <c r="L49" t="s">
        <v>29</v>
      </c>
      <c r="M49">
        <v>2021</v>
      </c>
      <c r="N49" t="s">
        <v>123</v>
      </c>
      <c r="O49" t="s">
        <v>59</v>
      </c>
      <c r="P49" t="s">
        <v>24</v>
      </c>
    </row>
    <row r="50" spans="1:16" x14ac:dyDescent="0.3">
      <c r="A50" t="s">
        <v>25</v>
      </c>
      <c r="B50" t="s">
        <v>147</v>
      </c>
      <c r="C50" t="s">
        <v>56</v>
      </c>
      <c r="D50" t="s">
        <v>63</v>
      </c>
      <c r="E50" s="2">
        <v>1514</v>
      </c>
      <c r="F50" s="2">
        <v>15</v>
      </c>
      <c r="G50">
        <v>908.4</v>
      </c>
      <c r="H50" s="2">
        <v>21801.599999999999</v>
      </c>
      <c r="I50" s="2">
        <v>6661.5999999999985</v>
      </c>
      <c r="J50" s="3">
        <v>44454</v>
      </c>
      <c r="K50" t="s">
        <v>20</v>
      </c>
      <c r="L50" t="s">
        <v>21</v>
      </c>
      <c r="M50">
        <v>2021</v>
      </c>
      <c r="N50" t="s">
        <v>148</v>
      </c>
      <c r="O50" t="s">
        <v>59</v>
      </c>
      <c r="P50" t="s">
        <v>46</v>
      </c>
    </row>
    <row r="51" spans="1:16" x14ac:dyDescent="0.3">
      <c r="A51" t="s">
        <v>25</v>
      </c>
      <c r="B51" t="s">
        <v>149</v>
      </c>
      <c r="C51" t="s">
        <v>90</v>
      </c>
      <c r="D51" t="s">
        <v>63</v>
      </c>
      <c r="E51" s="2">
        <v>671</v>
      </c>
      <c r="F51" s="2">
        <v>15</v>
      </c>
      <c r="G51">
        <v>402.6</v>
      </c>
      <c r="H51" s="2">
        <v>9662.4</v>
      </c>
      <c r="I51" s="2">
        <v>2952.3999999999996</v>
      </c>
      <c r="J51" s="3">
        <v>44853</v>
      </c>
      <c r="K51" t="s">
        <v>85</v>
      </c>
      <c r="L51" t="s">
        <v>72</v>
      </c>
      <c r="M51">
        <v>2021</v>
      </c>
      <c r="N51" t="s">
        <v>150</v>
      </c>
      <c r="O51" t="s">
        <v>92</v>
      </c>
      <c r="P51" t="s">
        <v>49</v>
      </c>
    </row>
    <row r="52" spans="1:16" x14ac:dyDescent="0.3">
      <c r="A52" t="s">
        <v>37</v>
      </c>
      <c r="B52" t="s">
        <v>151</v>
      </c>
      <c r="C52" t="s">
        <v>90</v>
      </c>
      <c r="D52" t="s">
        <v>63</v>
      </c>
      <c r="E52" s="2">
        <v>1778</v>
      </c>
      <c r="F52" s="2">
        <v>350</v>
      </c>
      <c r="G52">
        <v>24892</v>
      </c>
      <c r="H52" s="2">
        <v>597408</v>
      </c>
      <c r="I52" s="2">
        <v>135128</v>
      </c>
      <c r="J52" s="3">
        <v>44561</v>
      </c>
      <c r="K52" t="s">
        <v>75</v>
      </c>
      <c r="L52" t="s">
        <v>72</v>
      </c>
      <c r="M52">
        <v>2021</v>
      </c>
      <c r="N52" t="s">
        <v>152</v>
      </c>
      <c r="O52" t="s">
        <v>92</v>
      </c>
      <c r="P52" t="s">
        <v>54</v>
      </c>
    </row>
    <row r="53" spans="1:16" x14ac:dyDescent="0.3">
      <c r="A53" t="s">
        <v>37</v>
      </c>
      <c r="B53" t="s">
        <v>130</v>
      </c>
      <c r="C53" t="s">
        <v>18</v>
      </c>
      <c r="D53" t="s">
        <v>153</v>
      </c>
      <c r="E53" s="2">
        <v>1159</v>
      </c>
      <c r="F53" s="2">
        <v>7</v>
      </c>
      <c r="G53">
        <v>405.65</v>
      </c>
      <c r="H53" s="2">
        <v>7707.35</v>
      </c>
      <c r="I53" s="2">
        <v>1912.3500000000004</v>
      </c>
      <c r="J53" s="3">
        <v>44790</v>
      </c>
      <c r="K53" t="s">
        <v>39</v>
      </c>
      <c r="L53" t="s">
        <v>21</v>
      </c>
      <c r="M53">
        <v>2021</v>
      </c>
      <c r="N53" t="s">
        <v>131</v>
      </c>
      <c r="O53" t="s">
        <v>23</v>
      </c>
      <c r="P53" t="s">
        <v>46</v>
      </c>
    </row>
    <row r="54" spans="1:16" x14ac:dyDescent="0.3">
      <c r="A54" t="s">
        <v>37</v>
      </c>
      <c r="B54" t="s">
        <v>38</v>
      </c>
      <c r="C54" t="s">
        <v>27</v>
      </c>
      <c r="D54" t="s">
        <v>153</v>
      </c>
      <c r="E54" s="2">
        <v>2349</v>
      </c>
      <c r="F54" s="2">
        <v>7</v>
      </c>
      <c r="G54">
        <v>822.15</v>
      </c>
      <c r="H54" s="2">
        <v>15620.85</v>
      </c>
      <c r="I54" s="2">
        <v>3875.8500000000004</v>
      </c>
      <c r="J54" s="3">
        <v>44832</v>
      </c>
      <c r="K54" t="s">
        <v>20</v>
      </c>
      <c r="L54" t="s">
        <v>21</v>
      </c>
      <c r="M54">
        <v>2021</v>
      </c>
      <c r="N54" t="s">
        <v>40</v>
      </c>
      <c r="O54" t="s">
        <v>31</v>
      </c>
      <c r="P54" t="s">
        <v>41</v>
      </c>
    </row>
    <row r="55" spans="1:16" x14ac:dyDescent="0.3">
      <c r="A55" t="s">
        <v>37</v>
      </c>
      <c r="B55" t="s">
        <v>126</v>
      </c>
      <c r="C55" t="s">
        <v>90</v>
      </c>
      <c r="D55" t="s">
        <v>153</v>
      </c>
      <c r="E55" s="2">
        <v>1159</v>
      </c>
      <c r="F55" s="2">
        <v>7</v>
      </c>
      <c r="G55">
        <v>405.65</v>
      </c>
      <c r="H55" s="2">
        <v>7707.35</v>
      </c>
      <c r="I55" s="2">
        <v>1912.3500000000004</v>
      </c>
      <c r="J55" s="3">
        <v>44283</v>
      </c>
      <c r="K55" t="s">
        <v>82</v>
      </c>
      <c r="L55" t="s">
        <v>29</v>
      </c>
      <c r="M55">
        <v>2021</v>
      </c>
      <c r="N55" t="s">
        <v>127</v>
      </c>
      <c r="O55" t="s">
        <v>92</v>
      </c>
      <c r="P55" t="s">
        <v>36</v>
      </c>
    </row>
    <row r="56" spans="1:16" x14ac:dyDescent="0.3">
      <c r="A56" t="s">
        <v>37</v>
      </c>
      <c r="B56" t="s">
        <v>154</v>
      </c>
      <c r="C56" t="s">
        <v>62</v>
      </c>
      <c r="D56" t="s">
        <v>153</v>
      </c>
      <c r="E56" s="2">
        <v>1016</v>
      </c>
      <c r="F56" s="2">
        <v>7</v>
      </c>
      <c r="G56">
        <v>355.6</v>
      </c>
      <c r="H56" s="2">
        <v>6756.4</v>
      </c>
      <c r="I56" s="2">
        <v>1676.3999999999996</v>
      </c>
      <c r="J56" s="3">
        <v>44705</v>
      </c>
      <c r="K56" t="s">
        <v>104</v>
      </c>
      <c r="L56" t="s">
        <v>68</v>
      </c>
      <c r="M56">
        <v>2021</v>
      </c>
      <c r="N56" t="s">
        <v>155</v>
      </c>
      <c r="O56" t="s">
        <v>65</v>
      </c>
      <c r="P56" t="s">
        <v>60</v>
      </c>
    </row>
    <row r="57" spans="1:16" x14ac:dyDescent="0.3">
      <c r="A57" t="s">
        <v>37</v>
      </c>
      <c r="B57" t="s">
        <v>156</v>
      </c>
      <c r="C57" t="s">
        <v>18</v>
      </c>
      <c r="D57" t="s">
        <v>153</v>
      </c>
      <c r="E57" s="2">
        <v>720</v>
      </c>
      <c r="F57" s="2">
        <v>350</v>
      </c>
      <c r="G57">
        <v>12600</v>
      </c>
      <c r="H57" s="2">
        <v>239400</v>
      </c>
      <c r="I57" s="2">
        <v>52200</v>
      </c>
      <c r="J57" s="3">
        <v>44294</v>
      </c>
      <c r="K57" t="s">
        <v>67</v>
      </c>
      <c r="L57" t="s">
        <v>68</v>
      </c>
      <c r="M57">
        <v>2021</v>
      </c>
      <c r="N57" t="s">
        <v>157</v>
      </c>
      <c r="O57" t="s">
        <v>23</v>
      </c>
      <c r="P57" t="s">
        <v>24</v>
      </c>
    </row>
    <row r="58" spans="1:16" x14ac:dyDescent="0.3">
      <c r="A58" t="s">
        <v>33</v>
      </c>
      <c r="B58" t="s">
        <v>158</v>
      </c>
      <c r="C58" t="s">
        <v>18</v>
      </c>
      <c r="D58" t="s">
        <v>153</v>
      </c>
      <c r="E58" s="2">
        <v>1100</v>
      </c>
      <c r="F58" s="2">
        <v>300</v>
      </c>
      <c r="G58">
        <v>16500</v>
      </c>
      <c r="H58" s="2">
        <v>313500</v>
      </c>
      <c r="I58" s="2">
        <v>38500</v>
      </c>
      <c r="J58" s="3">
        <v>44216</v>
      </c>
      <c r="K58" t="s">
        <v>28</v>
      </c>
      <c r="L58" t="s">
        <v>29</v>
      </c>
      <c r="M58">
        <v>2021</v>
      </c>
      <c r="N58" t="s">
        <v>159</v>
      </c>
      <c r="O58" t="s">
        <v>23</v>
      </c>
      <c r="P58" t="s">
        <v>32</v>
      </c>
    </row>
    <row r="59" spans="1:16" x14ac:dyDescent="0.3">
      <c r="A59" t="s">
        <v>37</v>
      </c>
      <c r="B59" t="s">
        <v>38</v>
      </c>
      <c r="C59" t="s">
        <v>27</v>
      </c>
      <c r="D59" t="s">
        <v>153</v>
      </c>
      <c r="E59" s="2">
        <v>1228</v>
      </c>
      <c r="F59" s="2">
        <v>350</v>
      </c>
      <c r="G59">
        <v>21490</v>
      </c>
      <c r="H59" s="2">
        <v>408310</v>
      </c>
      <c r="I59" s="2">
        <v>89030</v>
      </c>
      <c r="J59" s="3">
        <v>44205</v>
      </c>
      <c r="K59" t="s">
        <v>28</v>
      </c>
      <c r="L59" t="s">
        <v>29</v>
      </c>
      <c r="M59">
        <v>2021</v>
      </c>
      <c r="N59" t="s">
        <v>40</v>
      </c>
      <c r="O59" t="s">
        <v>31</v>
      </c>
      <c r="P59" t="s">
        <v>41</v>
      </c>
    </row>
    <row r="60" spans="1:16" x14ac:dyDescent="0.3">
      <c r="A60" t="s">
        <v>37</v>
      </c>
      <c r="B60" t="s">
        <v>38</v>
      </c>
      <c r="C60" t="s">
        <v>27</v>
      </c>
      <c r="D60" t="s">
        <v>153</v>
      </c>
      <c r="E60" s="2">
        <v>1389</v>
      </c>
      <c r="F60" s="2">
        <v>20</v>
      </c>
      <c r="G60">
        <v>1389</v>
      </c>
      <c r="H60" s="2">
        <v>26391</v>
      </c>
      <c r="I60" s="2">
        <v>12501</v>
      </c>
      <c r="J60" s="3">
        <v>44546</v>
      </c>
      <c r="K60" t="s">
        <v>75</v>
      </c>
      <c r="L60" t="s">
        <v>72</v>
      </c>
      <c r="M60">
        <v>2021</v>
      </c>
      <c r="N60" t="s">
        <v>40</v>
      </c>
      <c r="O60" t="s">
        <v>31</v>
      </c>
      <c r="P60" t="s">
        <v>41</v>
      </c>
    </row>
    <row r="61" spans="1:16" x14ac:dyDescent="0.3">
      <c r="A61" t="s">
        <v>16</v>
      </c>
      <c r="B61" t="s">
        <v>160</v>
      </c>
      <c r="C61" t="s">
        <v>27</v>
      </c>
      <c r="D61" t="s">
        <v>153</v>
      </c>
      <c r="E61" s="2">
        <v>704</v>
      </c>
      <c r="F61" s="2">
        <v>125</v>
      </c>
      <c r="G61">
        <v>4400</v>
      </c>
      <c r="H61" s="2">
        <v>83600</v>
      </c>
      <c r="I61" s="2">
        <v>-880</v>
      </c>
      <c r="J61" s="3">
        <v>44402</v>
      </c>
      <c r="K61" t="s">
        <v>44</v>
      </c>
      <c r="L61" t="s">
        <v>21</v>
      </c>
      <c r="M61">
        <v>2021</v>
      </c>
      <c r="N61" t="s">
        <v>161</v>
      </c>
      <c r="O61" t="s">
        <v>31</v>
      </c>
      <c r="P61" t="s">
        <v>36</v>
      </c>
    </row>
    <row r="62" spans="1:16" x14ac:dyDescent="0.3">
      <c r="A62" t="s">
        <v>37</v>
      </c>
      <c r="B62" t="s">
        <v>38</v>
      </c>
      <c r="C62" t="s">
        <v>27</v>
      </c>
      <c r="D62" t="s">
        <v>153</v>
      </c>
      <c r="E62" s="2">
        <v>1802</v>
      </c>
      <c r="F62" s="2">
        <v>20</v>
      </c>
      <c r="G62">
        <v>1802</v>
      </c>
      <c r="H62" s="2">
        <v>34238</v>
      </c>
      <c r="I62" s="2">
        <v>16218</v>
      </c>
      <c r="J62" s="3">
        <v>44469</v>
      </c>
      <c r="K62" t="s">
        <v>20</v>
      </c>
      <c r="L62" t="s">
        <v>21</v>
      </c>
      <c r="M62">
        <v>2021</v>
      </c>
      <c r="N62" t="s">
        <v>40</v>
      </c>
      <c r="O62" t="s">
        <v>31</v>
      </c>
      <c r="P62" t="s">
        <v>41</v>
      </c>
    </row>
    <row r="63" spans="1:16" x14ac:dyDescent="0.3">
      <c r="A63" t="s">
        <v>37</v>
      </c>
      <c r="B63" t="s">
        <v>162</v>
      </c>
      <c r="C63" t="s">
        <v>27</v>
      </c>
      <c r="D63" t="s">
        <v>153</v>
      </c>
      <c r="E63" s="2">
        <v>2136</v>
      </c>
      <c r="F63" s="2">
        <v>7</v>
      </c>
      <c r="G63">
        <v>747.6</v>
      </c>
      <c r="H63" s="2">
        <v>14204.4</v>
      </c>
      <c r="I63" s="2">
        <v>3524.3999999999996</v>
      </c>
      <c r="J63" s="3">
        <v>44399</v>
      </c>
      <c r="K63" t="s">
        <v>44</v>
      </c>
      <c r="L63" t="s">
        <v>21</v>
      </c>
      <c r="M63">
        <v>2021</v>
      </c>
      <c r="N63" t="s">
        <v>163</v>
      </c>
      <c r="O63" t="s">
        <v>31</v>
      </c>
      <c r="P63" t="s">
        <v>41</v>
      </c>
    </row>
    <row r="64" spans="1:16" x14ac:dyDescent="0.3">
      <c r="A64" t="s">
        <v>25</v>
      </c>
      <c r="B64" t="s">
        <v>132</v>
      </c>
      <c r="C64" t="s">
        <v>27</v>
      </c>
      <c r="D64" t="s">
        <v>153</v>
      </c>
      <c r="E64" s="2">
        <v>2116</v>
      </c>
      <c r="F64" s="2">
        <v>15</v>
      </c>
      <c r="G64">
        <v>1587</v>
      </c>
      <c r="H64" s="2">
        <v>30153</v>
      </c>
      <c r="I64" s="2">
        <v>8993</v>
      </c>
      <c r="J64" s="3">
        <v>44636</v>
      </c>
      <c r="K64" t="s">
        <v>82</v>
      </c>
      <c r="L64" t="s">
        <v>29</v>
      </c>
      <c r="M64">
        <v>2021</v>
      </c>
      <c r="N64" t="s">
        <v>133</v>
      </c>
      <c r="O64" t="s">
        <v>31</v>
      </c>
      <c r="P64" t="s">
        <v>49</v>
      </c>
    </row>
    <row r="65" spans="1:16" x14ac:dyDescent="0.3">
      <c r="A65" t="s">
        <v>16</v>
      </c>
      <c r="B65" t="s">
        <v>164</v>
      </c>
      <c r="C65" t="s">
        <v>51</v>
      </c>
      <c r="D65" t="s">
        <v>153</v>
      </c>
      <c r="E65" s="2">
        <v>704</v>
      </c>
      <c r="F65" s="2">
        <v>125</v>
      </c>
      <c r="G65">
        <v>4400</v>
      </c>
      <c r="H65" s="2">
        <v>83600</v>
      </c>
      <c r="I65" s="2">
        <v>-880</v>
      </c>
      <c r="J65" s="3">
        <v>44311</v>
      </c>
      <c r="K65" t="s">
        <v>67</v>
      </c>
      <c r="L65" t="s">
        <v>68</v>
      </c>
      <c r="M65">
        <v>2021</v>
      </c>
      <c r="N65" t="s">
        <v>165</v>
      </c>
      <c r="O65" t="s">
        <v>53</v>
      </c>
      <c r="P65" t="s">
        <v>46</v>
      </c>
    </row>
    <row r="66" spans="1:16" x14ac:dyDescent="0.3">
      <c r="A66" t="s">
        <v>37</v>
      </c>
      <c r="B66" t="s">
        <v>166</v>
      </c>
      <c r="C66" t="s">
        <v>51</v>
      </c>
      <c r="D66" t="s">
        <v>153</v>
      </c>
      <c r="E66" s="2">
        <v>1033</v>
      </c>
      <c r="F66" s="2">
        <v>20</v>
      </c>
      <c r="G66">
        <v>1033</v>
      </c>
      <c r="H66" s="2">
        <v>19627</v>
      </c>
      <c r="I66" s="2">
        <v>9297</v>
      </c>
      <c r="J66" s="3">
        <v>44862</v>
      </c>
      <c r="K66" t="s">
        <v>85</v>
      </c>
      <c r="L66" t="s">
        <v>72</v>
      </c>
      <c r="M66">
        <v>2021</v>
      </c>
      <c r="N66" t="s">
        <v>167</v>
      </c>
      <c r="O66" t="s">
        <v>53</v>
      </c>
      <c r="P66" t="s">
        <v>49</v>
      </c>
    </row>
    <row r="67" spans="1:16" x14ac:dyDescent="0.3">
      <c r="A67" t="s">
        <v>37</v>
      </c>
      <c r="B67" t="s">
        <v>168</v>
      </c>
      <c r="C67" t="s">
        <v>56</v>
      </c>
      <c r="D67" t="s">
        <v>153</v>
      </c>
      <c r="E67" s="2">
        <v>1389</v>
      </c>
      <c r="F67" s="2">
        <v>20</v>
      </c>
      <c r="G67">
        <v>1389</v>
      </c>
      <c r="H67" s="2">
        <v>26391</v>
      </c>
      <c r="I67" s="2">
        <v>12501</v>
      </c>
      <c r="J67" s="3">
        <v>44446</v>
      </c>
      <c r="K67" t="s">
        <v>20</v>
      </c>
      <c r="L67" t="s">
        <v>21</v>
      </c>
      <c r="M67">
        <v>2021</v>
      </c>
      <c r="N67" t="s">
        <v>169</v>
      </c>
      <c r="O67" t="s">
        <v>59</v>
      </c>
      <c r="P67" t="s">
        <v>54</v>
      </c>
    </row>
    <row r="68" spans="1:16" x14ac:dyDescent="0.3">
      <c r="A68" t="s">
        <v>37</v>
      </c>
      <c r="B68" t="s">
        <v>122</v>
      </c>
      <c r="C68" t="s">
        <v>56</v>
      </c>
      <c r="D68" t="s">
        <v>153</v>
      </c>
      <c r="E68" s="2">
        <v>1265</v>
      </c>
      <c r="F68" s="2">
        <v>20</v>
      </c>
      <c r="G68">
        <v>1265</v>
      </c>
      <c r="H68" s="2">
        <v>24035</v>
      </c>
      <c r="I68" s="2">
        <v>11385</v>
      </c>
      <c r="J68" s="3">
        <v>44380</v>
      </c>
      <c r="K68" t="s">
        <v>44</v>
      </c>
      <c r="L68" t="s">
        <v>21</v>
      </c>
      <c r="M68">
        <v>2021</v>
      </c>
      <c r="N68" t="s">
        <v>123</v>
      </c>
      <c r="O68" t="s">
        <v>59</v>
      </c>
      <c r="P68" t="s">
        <v>24</v>
      </c>
    </row>
    <row r="69" spans="1:16" x14ac:dyDescent="0.3">
      <c r="A69" t="s">
        <v>37</v>
      </c>
      <c r="B69" t="s">
        <v>170</v>
      </c>
      <c r="C69" t="s">
        <v>56</v>
      </c>
      <c r="D69" t="s">
        <v>153</v>
      </c>
      <c r="E69" s="2">
        <v>2297</v>
      </c>
      <c r="F69" s="2">
        <v>20</v>
      </c>
      <c r="G69">
        <v>2297</v>
      </c>
      <c r="H69" s="2">
        <v>43643</v>
      </c>
      <c r="I69" s="2">
        <v>20673</v>
      </c>
      <c r="J69" s="3">
        <v>44408</v>
      </c>
      <c r="K69" t="s">
        <v>44</v>
      </c>
      <c r="L69" t="s">
        <v>21</v>
      </c>
      <c r="M69">
        <v>2021</v>
      </c>
      <c r="N69" t="s">
        <v>171</v>
      </c>
      <c r="O69" t="s">
        <v>59</v>
      </c>
      <c r="P69" t="s">
        <v>60</v>
      </c>
    </row>
    <row r="70" spans="1:16" x14ac:dyDescent="0.3">
      <c r="A70" t="s">
        <v>37</v>
      </c>
      <c r="B70" t="s">
        <v>151</v>
      </c>
      <c r="C70" t="s">
        <v>90</v>
      </c>
      <c r="D70" t="s">
        <v>153</v>
      </c>
      <c r="E70" s="2">
        <v>1228</v>
      </c>
      <c r="F70" s="2">
        <v>350</v>
      </c>
      <c r="G70">
        <v>21490</v>
      </c>
      <c r="H70" s="2">
        <v>408310</v>
      </c>
      <c r="I70" s="2">
        <v>89030</v>
      </c>
      <c r="J70" s="3">
        <v>44572</v>
      </c>
      <c r="K70" t="s">
        <v>28</v>
      </c>
      <c r="L70" t="s">
        <v>29</v>
      </c>
      <c r="M70">
        <v>2021</v>
      </c>
      <c r="N70" t="s">
        <v>152</v>
      </c>
      <c r="O70" t="s">
        <v>92</v>
      </c>
      <c r="P70" t="s">
        <v>54</v>
      </c>
    </row>
    <row r="71" spans="1:16" x14ac:dyDescent="0.3">
      <c r="A71" t="s">
        <v>42</v>
      </c>
      <c r="B71" t="s">
        <v>128</v>
      </c>
      <c r="C71" t="s">
        <v>62</v>
      </c>
      <c r="D71" t="s">
        <v>153</v>
      </c>
      <c r="E71" s="2">
        <v>2299</v>
      </c>
      <c r="F71" s="2">
        <v>12</v>
      </c>
      <c r="G71">
        <v>1655.28</v>
      </c>
      <c r="H71" s="2">
        <v>25932.720000000001</v>
      </c>
      <c r="I71" s="2">
        <v>19035.72</v>
      </c>
      <c r="J71" s="3">
        <v>44562</v>
      </c>
      <c r="K71" t="s">
        <v>28</v>
      </c>
      <c r="L71" t="s">
        <v>29</v>
      </c>
      <c r="M71">
        <v>2021</v>
      </c>
      <c r="N71" t="s">
        <v>129</v>
      </c>
      <c r="O71" t="s">
        <v>65</v>
      </c>
      <c r="P71" t="s">
        <v>41</v>
      </c>
    </row>
    <row r="72" spans="1:16" x14ac:dyDescent="0.3">
      <c r="A72" t="s">
        <v>37</v>
      </c>
      <c r="B72" t="s">
        <v>172</v>
      </c>
      <c r="C72" t="s">
        <v>62</v>
      </c>
      <c r="D72" t="s">
        <v>153</v>
      </c>
      <c r="E72" s="2">
        <v>263</v>
      </c>
      <c r="F72" s="2">
        <v>7</v>
      </c>
      <c r="G72">
        <v>110.46</v>
      </c>
      <c r="H72" s="2">
        <v>1730.54</v>
      </c>
      <c r="I72" s="2">
        <v>415.53999999999996</v>
      </c>
      <c r="J72" s="3">
        <v>44301</v>
      </c>
      <c r="K72" t="s">
        <v>67</v>
      </c>
      <c r="L72" t="s">
        <v>68</v>
      </c>
      <c r="M72">
        <v>2021</v>
      </c>
      <c r="N72" t="s">
        <v>173</v>
      </c>
      <c r="O72" t="s">
        <v>65</v>
      </c>
      <c r="P72" t="s">
        <v>24</v>
      </c>
    </row>
    <row r="73" spans="1:16" x14ac:dyDescent="0.3">
      <c r="A73" t="s">
        <v>16</v>
      </c>
      <c r="B73" t="s">
        <v>174</v>
      </c>
      <c r="C73" t="s">
        <v>62</v>
      </c>
      <c r="D73" t="s">
        <v>153</v>
      </c>
      <c r="E73" s="2">
        <v>887</v>
      </c>
      <c r="F73" s="2">
        <v>125</v>
      </c>
      <c r="G73">
        <v>6652.5</v>
      </c>
      <c r="H73" s="2">
        <v>104222.5</v>
      </c>
      <c r="I73" s="2">
        <v>-2217.5</v>
      </c>
      <c r="J73" s="3">
        <v>44789</v>
      </c>
      <c r="K73" t="s">
        <v>39</v>
      </c>
      <c r="L73" t="s">
        <v>21</v>
      </c>
      <c r="M73">
        <v>2021</v>
      </c>
      <c r="N73" t="s">
        <v>175</v>
      </c>
      <c r="O73" t="s">
        <v>65</v>
      </c>
      <c r="P73" t="s">
        <v>32</v>
      </c>
    </row>
    <row r="74" spans="1:16" x14ac:dyDescent="0.3">
      <c r="A74" t="s">
        <v>37</v>
      </c>
      <c r="B74" t="s">
        <v>176</v>
      </c>
      <c r="C74" t="s">
        <v>18</v>
      </c>
      <c r="D74" t="s">
        <v>153</v>
      </c>
      <c r="E74" s="2">
        <v>1403</v>
      </c>
      <c r="F74" s="2">
        <v>7</v>
      </c>
      <c r="G74">
        <v>589.26</v>
      </c>
      <c r="H74" s="2">
        <v>9231.74</v>
      </c>
      <c r="I74" s="2">
        <v>2216.7399999999998</v>
      </c>
      <c r="J74" s="3">
        <v>44829</v>
      </c>
      <c r="K74" t="s">
        <v>20</v>
      </c>
      <c r="L74" t="s">
        <v>21</v>
      </c>
      <c r="M74">
        <v>2021</v>
      </c>
      <c r="N74" t="s">
        <v>177</v>
      </c>
      <c r="O74" t="s">
        <v>23</v>
      </c>
      <c r="P74" t="s">
        <v>36</v>
      </c>
    </row>
    <row r="75" spans="1:16" x14ac:dyDescent="0.3">
      <c r="A75" t="s">
        <v>42</v>
      </c>
      <c r="B75" t="s">
        <v>178</v>
      </c>
      <c r="C75" t="s">
        <v>27</v>
      </c>
      <c r="D75" t="s">
        <v>153</v>
      </c>
      <c r="E75" s="2">
        <v>2299</v>
      </c>
      <c r="F75" s="2">
        <v>12</v>
      </c>
      <c r="G75">
        <v>1655.28</v>
      </c>
      <c r="H75" s="2">
        <v>25932.720000000001</v>
      </c>
      <c r="I75" s="2">
        <v>19035.72</v>
      </c>
      <c r="J75" s="3">
        <v>44311</v>
      </c>
      <c r="K75" t="s">
        <v>67</v>
      </c>
      <c r="L75" t="s">
        <v>68</v>
      </c>
      <c r="M75">
        <v>2021</v>
      </c>
      <c r="N75" t="s">
        <v>141</v>
      </c>
      <c r="O75" t="s">
        <v>31</v>
      </c>
      <c r="P75" t="s">
        <v>41</v>
      </c>
    </row>
    <row r="76" spans="1:16" x14ac:dyDescent="0.3">
      <c r="A76" t="s">
        <v>37</v>
      </c>
      <c r="B76" t="s">
        <v>110</v>
      </c>
      <c r="C76" t="s">
        <v>27</v>
      </c>
      <c r="D76" t="s">
        <v>153</v>
      </c>
      <c r="E76" s="2">
        <v>727</v>
      </c>
      <c r="F76" s="2">
        <v>350</v>
      </c>
      <c r="G76">
        <v>15267</v>
      </c>
      <c r="H76" s="2">
        <v>239183</v>
      </c>
      <c r="I76" s="2">
        <v>50163</v>
      </c>
      <c r="J76" s="3">
        <v>44670</v>
      </c>
      <c r="K76" t="s">
        <v>67</v>
      </c>
      <c r="L76" t="s">
        <v>68</v>
      </c>
      <c r="M76">
        <v>2021</v>
      </c>
      <c r="N76" t="s">
        <v>111</v>
      </c>
      <c r="O76" t="s">
        <v>31</v>
      </c>
      <c r="P76" t="s">
        <v>36</v>
      </c>
    </row>
    <row r="77" spans="1:16" x14ac:dyDescent="0.3">
      <c r="A77" t="s">
        <v>33</v>
      </c>
      <c r="B77" t="s">
        <v>179</v>
      </c>
      <c r="C77" t="s">
        <v>51</v>
      </c>
      <c r="D77" t="s">
        <v>153</v>
      </c>
      <c r="E77" s="2">
        <v>1221</v>
      </c>
      <c r="F77" s="2">
        <v>300</v>
      </c>
      <c r="G77">
        <v>21978</v>
      </c>
      <c r="H77" s="2">
        <v>344322</v>
      </c>
      <c r="I77" s="2">
        <v>39072</v>
      </c>
      <c r="J77" s="3">
        <v>44341</v>
      </c>
      <c r="K77" t="s">
        <v>104</v>
      </c>
      <c r="L77" t="s">
        <v>68</v>
      </c>
      <c r="M77">
        <v>2021</v>
      </c>
      <c r="N77" t="s">
        <v>180</v>
      </c>
      <c r="O77" t="s">
        <v>53</v>
      </c>
      <c r="P77" t="s">
        <v>46</v>
      </c>
    </row>
    <row r="78" spans="1:16" x14ac:dyDescent="0.3">
      <c r="A78" t="s">
        <v>37</v>
      </c>
      <c r="B78" t="s">
        <v>166</v>
      </c>
      <c r="C78" t="s">
        <v>51</v>
      </c>
      <c r="D78" t="s">
        <v>153</v>
      </c>
      <c r="E78" s="2">
        <v>2076</v>
      </c>
      <c r="F78" s="2">
        <v>350</v>
      </c>
      <c r="G78">
        <v>43596</v>
      </c>
      <c r="H78" s="2">
        <v>683004</v>
      </c>
      <c r="I78" s="2">
        <v>143244</v>
      </c>
      <c r="J78" s="3">
        <v>44463</v>
      </c>
      <c r="K78" t="s">
        <v>20</v>
      </c>
      <c r="L78" t="s">
        <v>21</v>
      </c>
      <c r="M78">
        <v>2021</v>
      </c>
      <c r="N78" t="s">
        <v>167</v>
      </c>
      <c r="O78" t="s">
        <v>53</v>
      </c>
      <c r="P78" t="s">
        <v>49</v>
      </c>
    </row>
    <row r="79" spans="1:16" x14ac:dyDescent="0.3">
      <c r="A79" t="s">
        <v>33</v>
      </c>
      <c r="B79" t="s">
        <v>181</v>
      </c>
      <c r="C79" t="s">
        <v>56</v>
      </c>
      <c r="D79" t="s">
        <v>153</v>
      </c>
      <c r="E79" s="2">
        <v>1221</v>
      </c>
      <c r="F79" s="2">
        <v>300</v>
      </c>
      <c r="G79">
        <v>21978</v>
      </c>
      <c r="H79" s="2">
        <v>344322</v>
      </c>
      <c r="I79" s="2">
        <v>39072</v>
      </c>
      <c r="J79" s="3">
        <v>44428</v>
      </c>
      <c r="K79" t="s">
        <v>39</v>
      </c>
      <c r="L79" t="s">
        <v>21</v>
      </c>
      <c r="M79">
        <v>2021</v>
      </c>
      <c r="N79" t="s">
        <v>182</v>
      </c>
      <c r="O79" t="s">
        <v>59</v>
      </c>
      <c r="P79" t="s">
        <v>49</v>
      </c>
    </row>
    <row r="80" spans="1:16" x14ac:dyDescent="0.3">
      <c r="A80" t="s">
        <v>37</v>
      </c>
      <c r="B80" t="s">
        <v>124</v>
      </c>
      <c r="C80" t="s">
        <v>56</v>
      </c>
      <c r="D80" t="s">
        <v>153</v>
      </c>
      <c r="E80" s="2">
        <v>1123</v>
      </c>
      <c r="F80" s="2">
        <v>20</v>
      </c>
      <c r="G80">
        <v>1347.6</v>
      </c>
      <c r="H80" s="2">
        <v>21112.400000000001</v>
      </c>
      <c r="I80" s="2">
        <v>9882.4000000000015</v>
      </c>
      <c r="J80" s="3">
        <v>44767</v>
      </c>
      <c r="K80" t="s">
        <v>44</v>
      </c>
      <c r="L80" t="s">
        <v>21</v>
      </c>
      <c r="M80">
        <v>2021</v>
      </c>
      <c r="N80" t="s">
        <v>125</v>
      </c>
      <c r="O80" t="s">
        <v>59</v>
      </c>
      <c r="P80" t="s">
        <v>32</v>
      </c>
    </row>
    <row r="81" spans="1:16" x14ac:dyDescent="0.3">
      <c r="A81" t="s">
        <v>33</v>
      </c>
      <c r="B81" t="s">
        <v>183</v>
      </c>
      <c r="C81" t="s">
        <v>56</v>
      </c>
      <c r="D81" t="s">
        <v>153</v>
      </c>
      <c r="E81" s="2">
        <v>2436</v>
      </c>
      <c r="F81" s="2">
        <v>300</v>
      </c>
      <c r="G81">
        <v>43848</v>
      </c>
      <c r="H81" s="2">
        <v>686952</v>
      </c>
      <c r="I81" s="2">
        <v>77952</v>
      </c>
      <c r="J81" s="3">
        <v>44260</v>
      </c>
      <c r="K81" t="s">
        <v>82</v>
      </c>
      <c r="L81" t="s">
        <v>29</v>
      </c>
      <c r="M81">
        <v>2021</v>
      </c>
      <c r="N81" t="s">
        <v>184</v>
      </c>
      <c r="O81" t="s">
        <v>59</v>
      </c>
      <c r="P81" t="s">
        <v>54</v>
      </c>
    </row>
    <row r="82" spans="1:16" x14ac:dyDescent="0.3">
      <c r="A82" t="s">
        <v>37</v>
      </c>
      <c r="B82" t="s">
        <v>185</v>
      </c>
      <c r="C82" t="s">
        <v>90</v>
      </c>
      <c r="D82" t="s">
        <v>153</v>
      </c>
      <c r="E82" s="2">
        <v>727</v>
      </c>
      <c r="F82" s="2">
        <v>350</v>
      </c>
      <c r="G82">
        <v>15267</v>
      </c>
      <c r="H82" s="2">
        <v>239183</v>
      </c>
      <c r="I82" s="2">
        <v>50163</v>
      </c>
      <c r="J82" s="3">
        <v>44613</v>
      </c>
      <c r="K82" t="s">
        <v>57</v>
      </c>
      <c r="L82" t="s">
        <v>29</v>
      </c>
      <c r="M82">
        <v>2021</v>
      </c>
      <c r="N82" t="s">
        <v>186</v>
      </c>
      <c r="O82" t="s">
        <v>92</v>
      </c>
      <c r="P82" t="s">
        <v>60</v>
      </c>
    </row>
    <row r="83" spans="1:16" x14ac:dyDescent="0.3">
      <c r="A83" t="s">
        <v>37</v>
      </c>
      <c r="B83" t="s">
        <v>187</v>
      </c>
      <c r="C83" t="s">
        <v>90</v>
      </c>
      <c r="D83" t="s">
        <v>153</v>
      </c>
      <c r="E83" s="2">
        <v>1403</v>
      </c>
      <c r="F83" s="2">
        <v>7</v>
      </c>
      <c r="G83">
        <v>589.26</v>
      </c>
      <c r="H83" s="2">
        <v>9231.74</v>
      </c>
      <c r="I83" s="2">
        <v>2216.7399999999998</v>
      </c>
      <c r="J83" s="3">
        <v>44447</v>
      </c>
      <c r="K83" t="s">
        <v>20</v>
      </c>
      <c r="L83" t="s">
        <v>21</v>
      </c>
      <c r="M83">
        <v>2021</v>
      </c>
      <c r="N83" t="s">
        <v>188</v>
      </c>
      <c r="O83" t="s">
        <v>92</v>
      </c>
      <c r="P83" t="s">
        <v>24</v>
      </c>
    </row>
    <row r="84" spans="1:16" x14ac:dyDescent="0.3">
      <c r="A84" t="s">
        <v>37</v>
      </c>
      <c r="B84" t="s">
        <v>187</v>
      </c>
      <c r="C84" t="s">
        <v>90</v>
      </c>
      <c r="D84" t="s">
        <v>153</v>
      </c>
      <c r="E84" s="2">
        <v>2076</v>
      </c>
      <c r="F84" s="2">
        <v>350</v>
      </c>
      <c r="G84">
        <v>43596</v>
      </c>
      <c r="H84" s="2">
        <v>683004</v>
      </c>
      <c r="I84" s="2">
        <v>143244</v>
      </c>
      <c r="J84" s="3">
        <v>44794</v>
      </c>
      <c r="K84" t="s">
        <v>39</v>
      </c>
      <c r="L84" t="s">
        <v>21</v>
      </c>
      <c r="M84">
        <v>2021</v>
      </c>
      <c r="N84" t="s">
        <v>188</v>
      </c>
      <c r="O84" t="s">
        <v>92</v>
      </c>
      <c r="P84" t="s">
        <v>24</v>
      </c>
    </row>
    <row r="85" spans="1:16" x14ac:dyDescent="0.3">
      <c r="A85" t="s">
        <v>37</v>
      </c>
      <c r="B85" t="s">
        <v>176</v>
      </c>
      <c r="C85" t="s">
        <v>18</v>
      </c>
      <c r="D85" t="s">
        <v>153</v>
      </c>
      <c r="E85" s="2">
        <v>1757</v>
      </c>
      <c r="F85" s="2">
        <v>20</v>
      </c>
      <c r="G85">
        <v>2108.4</v>
      </c>
      <c r="H85" s="2">
        <v>33031.599999999999</v>
      </c>
      <c r="I85" s="2">
        <v>15461.599999999999</v>
      </c>
      <c r="J85" s="3">
        <v>44699</v>
      </c>
      <c r="K85" t="s">
        <v>104</v>
      </c>
      <c r="L85" t="s">
        <v>68</v>
      </c>
      <c r="M85">
        <v>2021</v>
      </c>
      <c r="N85" t="s">
        <v>177</v>
      </c>
      <c r="O85" t="s">
        <v>23</v>
      </c>
      <c r="P85" t="s">
        <v>36</v>
      </c>
    </row>
    <row r="86" spans="1:16" x14ac:dyDescent="0.3">
      <c r="A86" t="s">
        <v>37</v>
      </c>
      <c r="B86" t="s">
        <v>162</v>
      </c>
      <c r="C86" t="s">
        <v>27</v>
      </c>
      <c r="D86" t="s">
        <v>153</v>
      </c>
      <c r="E86" s="2">
        <v>1757</v>
      </c>
      <c r="F86" s="2">
        <v>20</v>
      </c>
      <c r="G86">
        <v>2108.4</v>
      </c>
      <c r="H86" s="2">
        <v>33031.599999999999</v>
      </c>
      <c r="I86" s="2">
        <v>15461.599999999999</v>
      </c>
      <c r="J86" s="3">
        <v>44802</v>
      </c>
      <c r="K86" t="s">
        <v>39</v>
      </c>
      <c r="L86" t="s">
        <v>21</v>
      </c>
      <c r="M86">
        <v>2021</v>
      </c>
      <c r="N86" t="s">
        <v>163</v>
      </c>
      <c r="O86" t="s">
        <v>31</v>
      </c>
      <c r="P86" t="s">
        <v>41</v>
      </c>
    </row>
    <row r="87" spans="1:16" x14ac:dyDescent="0.3">
      <c r="A87" t="s">
        <v>37</v>
      </c>
      <c r="B87" t="s">
        <v>189</v>
      </c>
      <c r="C87" t="s">
        <v>62</v>
      </c>
      <c r="D87" t="s">
        <v>153</v>
      </c>
      <c r="E87" s="2">
        <v>1834</v>
      </c>
      <c r="F87" s="2">
        <v>20</v>
      </c>
      <c r="G87">
        <v>2567.6</v>
      </c>
      <c r="H87" s="2">
        <v>34112.400000000001</v>
      </c>
      <c r="I87" s="2">
        <v>15772.400000000001</v>
      </c>
      <c r="J87" s="3">
        <v>44674</v>
      </c>
      <c r="K87" t="s">
        <v>67</v>
      </c>
      <c r="L87" t="s">
        <v>68</v>
      </c>
      <c r="M87">
        <v>2021</v>
      </c>
      <c r="N87" t="s">
        <v>190</v>
      </c>
      <c r="O87" t="s">
        <v>65</v>
      </c>
      <c r="P87" t="s">
        <v>32</v>
      </c>
    </row>
    <row r="88" spans="1:16" x14ac:dyDescent="0.3">
      <c r="A88" t="s">
        <v>37</v>
      </c>
      <c r="B88" t="s">
        <v>162</v>
      </c>
      <c r="C88" t="s">
        <v>27</v>
      </c>
      <c r="D88" t="s">
        <v>153</v>
      </c>
      <c r="E88" s="2">
        <v>1031</v>
      </c>
      <c r="F88" s="2">
        <v>7</v>
      </c>
      <c r="G88">
        <v>505.19</v>
      </c>
      <c r="H88" s="2">
        <v>6711.81</v>
      </c>
      <c r="I88" s="2">
        <v>1556.8100000000004</v>
      </c>
      <c r="J88" s="3">
        <v>44598</v>
      </c>
      <c r="K88" t="s">
        <v>57</v>
      </c>
      <c r="L88" t="s">
        <v>29</v>
      </c>
      <c r="M88">
        <v>2021</v>
      </c>
      <c r="N88" t="s">
        <v>163</v>
      </c>
      <c r="O88" t="s">
        <v>31</v>
      </c>
      <c r="P88" t="s">
        <v>41</v>
      </c>
    </row>
    <row r="89" spans="1:16" x14ac:dyDescent="0.3">
      <c r="A89" t="s">
        <v>42</v>
      </c>
      <c r="B89" t="s">
        <v>191</v>
      </c>
      <c r="C89" t="s">
        <v>56</v>
      </c>
      <c r="D89" t="s">
        <v>153</v>
      </c>
      <c r="E89" s="2">
        <v>2215</v>
      </c>
      <c r="F89" s="2">
        <v>12</v>
      </c>
      <c r="G89">
        <v>1860.6</v>
      </c>
      <c r="H89" s="2">
        <v>24719.4</v>
      </c>
      <c r="I89" s="2">
        <v>18074.400000000001</v>
      </c>
      <c r="J89" s="3">
        <v>44198</v>
      </c>
      <c r="K89" t="s">
        <v>28</v>
      </c>
      <c r="L89" t="s">
        <v>29</v>
      </c>
      <c r="M89">
        <v>2021</v>
      </c>
      <c r="N89" t="s">
        <v>192</v>
      </c>
      <c r="O89" t="s">
        <v>59</v>
      </c>
      <c r="P89" t="s">
        <v>36</v>
      </c>
    </row>
    <row r="90" spans="1:16" x14ac:dyDescent="0.3">
      <c r="A90" t="s">
        <v>16</v>
      </c>
      <c r="B90" t="s">
        <v>193</v>
      </c>
      <c r="C90" t="s">
        <v>18</v>
      </c>
      <c r="D90" t="s">
        <v>153</v>
      </c>
      <c r="E90" s="2">
        <v>2500</v>
      </c>
      <c r="F90" s="2">
        <v>125</v>
      </c>
      <c r="G90">
        <v>21875</v>
      </c>
      <c r="H90" s="2">
        <v>290625</v>
      </c>
      <c r="I90" s="2">
        <v>-9375</v>
      </c>
      <c r="J90" s="3">
        <v>44268</v>
      </c>
      <c r="K90" t="s">
        <v>82</v>
      </c>
      <c r="L90" t="s">
        <v>29</v>
      </c>
      <c r="M90">
        <v>2021</v>
      </c>
      <c r="N90" t="s">
        <v>194</v>
      </c>
      <c r="O90" t="s">
        <v>23</v>
      </c>
      <c r="P90" t="s">
        <v>41</v>
      </c>
    </row>
    <row r="91" spans="1:16" x14ac:dyDescent="0.3">
      <c r="A91" t="s">
        <v>25</v>
      </c>
      <c r="B91" t="s">
        <v>108</v>
      </c>
      <c r="C91" t="s">
        <v>27</v>
      </c>
      <c r="D91" t="s">
        <v>153</v>
      </c>
      <c r="E91" s="2">
        <v>2931</v>
      </c>
      <c r="F91" s="2">
        <v>15</v>
      </c>
      <c r="G91">
        <v>3077.55</v>
      </c>
      <c r="H91" s="2">
        <v>40887.449999999997</v>
      </c>
      <c r="I91" s="2">
        <v>11577.449999999997</v>
      </c>
      <c r="J91" s="3">
        <v>44451</v>
      </c>
      <c r="K91" t="s">
        <v>20</v>
      </c>
      <c r="L91" t="s">
        <v>21</v>
      </c>
      <c r="M91">
        <v>2021</v>
      </c>
      <c r="N91" t="s">
        <v>109</v>
      </c>
      <c r="O91" t="s">
        <v>31</v>
      </c>
      <c r="P91" t="s">
        <v>32</v>
      </c>
    </row>
    <row r="92" spans="1:16" x14ac:dyDescent="0.3">
      <c r="A92" t="s">
        <v>33</v>
      </c>
      <c r="B92" t="s">
        <v>195</v>
      </c>
      <c r="C92" t="s">
        <v>27</v>
      </c>
      <c r="D92" t="s">
        <v>153</v>
      </c>
      <c r="E92" s="2">
        <v>1123</v>
      </c>
      <c r="F92" s="2">
        <v>300</v>
      </c>
      <c r="G92">
        <v>23583</v>
      </c>
      <c r="H92" s="2">
        <v>313317</v>
      </c>
      <c r="I92" s="2">
        <v>32567</v>
      </c>
      <c r="J92" s="3">
        <v>44363</v>
      </c>
      <c r="K92" t="s">
        <v>146</v>
      </c>
      <c r="L92" t="s">
        <v>68</v>
      </c>
      <c r="M92">
        <v>2021</v>
      </c>
      <c r="N92" t="s">
        <v>173</v>
      </c>
      <c r="O92" t="s">
        <v>31</v>
      </c>
      <c r="P92" t="s">
        <v>46</v>
      </c>
    </row>
    <row r="93" spans="1:16" x14ac:dyDescent="0.3">
      <c r="A93" t="s">
        <v>33</v>
      </c>
      <c r="B93" t="s">
        <v>196</v>
      </c>
      <c r="C93" t="s">
        <v>27</v>
      </c>
      <c r="D93" t="s">
        <v>153</v>
      </c>
      <c r="E93" s="2">
        <v>1404</v>
      </c>
      <c r="F93" s="2">
        <v>300</v>
      </c>
      <c r="G93">
        <v>29484</v>
      </c>
      <c r="H93" s="2">
        <v>391716</v>
      </c>
      <c r="I93" s="2">
        <v>40716</v>
      </c>
      <c r="J93" s="3">
        <v>44700</v>
      </c>
      <c r="K93" t="s">
        <v>104</v>
      </c>
      <c r="L93" t="s">
        <v>68</v>
      </c>
      <c r="M93">
        <v>2021</v>
      </c>
      <c r="N93" t="s">
        <v>197</v>
      </c>
      <c r="O93" t="s">
        <v>31</v>
      </c>
      <c r="P93" t="s">
        <v>49</v>
      </c>
    </row>
    <row r="94" spans="1:16" x14ac:dyDescent="0.3">
      <c r="A94" t="s">
        <v>42</v>
      </c>
      <c r="B94" t="s">
        <v>198</v>
      </c>
      <c r="C94" t="s">
        <v>27</v>
      </c>
      <c r="D94" t="s">
        <v>153</v>
      </c>
      <c r="E94" s="2">
        <v>2763</v>
      </c>
      <c r="F94" s="2">
        <v>12</v>
      </c>
      <c r="G94">
        <v>2320.92</v>
      </c>
      <c r="H94" s="2">
        <v>30835.08</v>
      </c>
      <c r="I94" s="2">
        <v>22546.080000000002</v>
      </c>
      <c r="J94" s="3">
        <v>44293</v>
      </c>
      <c r="K94" t="s">
        <v>67</v>
      </c>
      <c r="L94" t="s">
        <v>68</v>
      </c>
      <c r="M94">
        <v>2021</v>
      </c>
      <c r="N94" t="s">
        <v>199</v>
      </c>
      <c r="O94" t="s">
        <v>31</v>
      </c>
      <c r="P94" t="s">
        <v>54</v>
      </c>
    </row>
    <row r="95" spans="1:16" x14ac:dyDescent="0.3">
      <c r="A95" t="s">
        <v>37</v>
      </c>
      <c r="B95" t="s">
        <v>200</v>
      </c>
      <c r="C95" t="s">
        <v>27</v>
      </c>
      <c r="D95" t="s">
        <v>153</v>
      </c>
      <c r="E95" s="2">
        <v>2125</v>
      </c>
      <c r="F95" s="2">
        <v>7</v>
      </c>
      <c r="G95">
        <v>1041.25</v>
      </c>
      <c r="H95" s="2">
        <v>13833.75</v>
      </c>
      <c r="I95" s="2">
        <v>3208.75</v>
      </c>
      <c r="J95" s="3">
        <v>44726</v>
      </c>
      <c r="K95" t="s">
        <v>146</v>
      </c>
      <c r="L95" t="s">
        <v>68</v>
      </c>
      <c r="M95">
        <v>2021</v>
      </c>
      <c r="N95" t="s">
        <v>201</v>
      </c>
      <c r="O95" t="s">
        <v>31</v>
      </c>
      <c r="P95" t="s">
        <v>60</v>
      </c>
    </row>
    <row r="96" spans="1:16" x14ac:dyDescent="0.3">
      <c r="A96" t="s">
        <v>37</v>
      </c>
      <c r="B96" t="s">
        <v>138</v>
      </c>
      <c r="C96" t="s">
        <v>51</v>
      </c>
      <c r="D96" t="s">
        <v>153</v>
      </c>
      <c r="E96" s="2">
        <v>1421</v>
      </c>
      <c r="F96" s="2">
        <v>20</v>
      </c>
      <c r="G96">
        <v>1989.4</v>
      </c>
      <c r="H96" s="2">
        <v>26430.6</v>
      </c>
      <c r="I96" s="2">
        <v>12220.599999999999</v>
      </c>
      <c r="J96" s="3">
        <v>44603</v>
      </c>
      <c r="K96" t="s">
        <v>57</v>
      </c>
      <c r="L96" t="s">
        <v>29</v>
      </c>
      <c r="M96">
        <v>2021</v>
      </c>
      <c r="N96" t="s">
        <v>139</v>
      </c>
      <c r="O96" t="s">
        <v>53</v>
      </c>
      <c r="P96" t="s">
        <v>24</v>
      </c>
    </row>
    <row r="97" spans="1:16" x14ac:dyDescent="0.3">
      <c r="A97" t="s">
        <v>37</v>
      </c>
      <c r="B97" t="s">
        <v>112</v>
      </c>
      <c r="C97" t="s">
        <v>51</v>
      </c>
      <c r="D97" t="s">
        <v>153</v>
      </c>
      <c r="E97" s="2">
        <v>588</v>
      </c>
      <c r="F97" s="2">
        <v>20</v>
      </c>
      <c r="G97">
        <v>823.2</v>
      </c>
      <c r="H97" s="2">
        <v>10936.8</v>
      </c>
      <c r="I97" s="2">
        <v>5056.7999999999993</v>
      </c>
      <c r="J97" s="3">
        <v>44686</v>
      </c>
      <c r="K97" t="s">
        <v>104</v>
      </c>
      <c r="L97" t="s">
        <v>68</v>
      </c>
      <c r="M97">
        <v>2021</v>
      </c>
      <c r="N97" t="s">
        <v>113</v>
      </c>
      <c r="O97" t="s">
        <v>53</v>
      </c>
      <c r="P97" t="s">
        <v>41</v>
      </c>
    </row>
    <row r="98" spans="1:16" x14ac:dyDescent="0.3">
      <c r="A98" t="s">
        <v>16</v>
      </c>
      <c r="B98" t="s">
        <v>202</v>
      </c>
      <c r="C98" t="s">
        <v>90</v>
      </c>
      <c r="D98" t="s">
        <v>153</v>
      </c>
      <c r="E98" s="2">
        <v>994</v>
      </c>
      <c r="F98" s="2">
        <v>125</v>
      </c>
      <c r="G98">
        <v>8697.5</v>
      </c>
      <c r="H98" s="2">
        <v>115552.5</v>
      </c>
      <c r="I98" s="2">
        <v>-3727.5</v>
      </c>
      <c r="J98" s="3">
        <v>44718</v>
      </c>
      <c r="K98" t="s">
        <v>146</v>
      </c>
      <c r="L98" t="s">
        <v>68</v>
      </c>
      <c r="M98">
        <v>2021</v>
      </c>
      <c r="N98" t="s">
        <v>203</v>
      </c>
      <c r="O98" t="s">
        <v>92</v>
      </c>
      <c r="P98" t="s">
        <v>24</v>
      </c>
    </row>
    <row r="99" spans="1:16" x14ac:dyDescent="0.3">
      <c r="A99" t="s">
        <v>33</v>
      </c>
      <c r="B99" t="s">
        <v>204</v>
      </c>
      <c r="C99" t="s">
        <v>18</v>
      </c>
      <c r="D99" t="s">
        <v>153</v>
      </c>
      <c r="E99" s="2">
        <v>1283</v>
      </c>
      <c r="F99" s="2">
        <v>300</v>
      </c>
      <c r="G99">
        <v>30792</v>
      </c>
      <c r="H99" s="2">
        <v>354108</v>
      </c>
      <c r="I99" s="2">
        <v>33358</v>
      </c>
      <c r="J99" s="3">
        <v>44421</v>
      </c>
      <c r="K99" t="s">
        <v>39</v>
      </c>
      <c r="L99" t="s">
        <v>21</v>
      </c>
      <c r="M99">
        <v>2021</v>
      </c>
      <c r="N99" t="s">
        <v>205</v>
      </c>
      <c r="O99" t="s">
        <v>23</v>
      </c>
      <c r="P99" t="s">
        <v>32</v>
      </c>
    </row>
    <row r="100" spans="1:16" x14ac:dyDescent="0.3">
      <c r="A100" t="s">
        <v>37</v>
      </c>
      <c r="B100" t="s">
        <v>200</v>
      </c>
      <c r="C100" t="s">
        <v>27</v>
      </c>
      <c r="D100" t="s">
        <v>153</v>
      </c>
      <c r="E100" s="2">
        <v>2409</v>
      </c>
      <c r="F100" s="2">
        <v>7</v>
      </c>
      <c r="G100">
        <v>1349.04</v>
      </c>
      <c r="H100" s="2">
        <v>15513.96</v>
      </c>
      <c r="I100" s="2">
        <v>3468.9599999999991</v>
      </c>
      <c r="J100" s="3">
        <v>44879</v>
      </c>
      <c r="K100" t="s">
        <v>71</v>
      </c>
      <c r="L100" t="s">
        <v>72</v>
      </c>
      <c r="M100">
        <v>2021</v>
      </c>
      <c r="N100" t="s">
        <v>201</v>
      </c>
      <c r="O100" t="s">
        <v>31</v>
      </c>
      <c r="P100" t="s">
        <v>60</v>
      </c>
    </row>
    <row r="101" spans="1:16" x14ac:dyDescent="0.3">
      <c r="A101" t="s">
        <v>37</v>
      </c>
      <c r="B101" t="s">
        <v>200</v>
      </c>
      <c r="C101" t="s">
        <v>27</v>
      </c>
      <c r="D101" t="s">
        <v>153</v>
      </c>
      <c r="E101" s="2">
        <v>2146</v>
      </c>
      <c r="F101" s="2">
        <v>350</v>
      </c>
      <c r="G101">
        <v>60088</v>
      </c>
      <c r="H101" s="2">
        <v>691012</v>
      </c>
      <c r="I101" s="2">
        <v>133052</v>
      </c>
      <c r="J101" s="3">
        <v>44490</v>
      </c>
      <c r="K101" t="s">
        <v>85</v>
      </c>
      <c r="L101" t="s">
        <v>72</v>
      </c>
      <c r="M101">
        <v>2021</v>
      </c>
      <c r="N101" t="s">
        <v>201</v>
      </c>
      <c r="O101" t="s">
        <v>31</v>
      </c>
      <c r="P101" t="s">
        <v>60</v>
      </c>
    </row>
    <row r="102" spans="1:16" x14ac:dyDescent="0.3">
      <c r="A102" t="s">
        <v>37</v>
      </c>
      <c r="B102" t="s">
        <v>136</v>
      </c>
      <c r="C102" t="s">
        <v>27</v>
      </c>
      <c r="D102" t="s">
        <v>153</v>
      </c>
      <c r="E102" s="2">
        <v>1946</v>
      </c>
      <c r="F102" s="2">
        <v>7</v>
      </c>
      <c r="G102">
        <v>1089.76</v>
      </c>
      <c r="H102" s="2">
        <v>12532.24</v>
      </c>
      <c r="I102" s="2">
        <v>2802.24</v>
      </c>
      <c r="J102" s="3">
        <v>44243</v>
      </c>
      <c r="K102" t="s">
        <v>57</v>
      </c>
      <c r="L102" t="s">
        <v>29</v>
      </c>
      <c r="M102">
        <v>2021</v>
      </c>
      <c r="N102" t="s">
        <v>137</v>
      </c>
      <c r="O102" t="s">
        <v>31</v>
      </c>
      <c r="P102" t="s">
        <v>60</v>
      </c>
    </row>
    <row r="103" spans="1:16" x14ac:dyDescent="0.3">
      <c r="A103" t="s">
        <v>33</v>
      </c>
      <c r="B103" t="s">
        <v>179</v>
      </c>
      <c r="C103" t="s">
        <v>51</v>
      </c>
      <c r="D103" t="s">
        <v>153</v>
      </c>
      <c r="E103" s="2">
        <v>386</v>
      </c>
      <c r="F103" s="2">
        <v>300</v>
      </c>
      <c r="G103">
        <v>9264</v>
      </c>
      <c r="H103" s="2">
        <v>106536</v>
      </c>
      <c r="I103" s="2">
        <v>10036</v>
      </c>
      <c r="J103" s="3">
        <v>44877</v>
      </c>
      <c r="K103" t="s">
        <v>71</v>
      </c>
      <c r="L103" t="s">
        <v>72</v>
      </c>
      <c r="M103">
        <v>2021</v>
      </c>
      <c r="N103" t="s">
        <v>180</v>
      </c>
      <c r="O103" t="s">
        <v>53</v>
      </c>
      <c r="P103" t="s">
        <v>46</v>
      </c>
    </row>
    <row r="104" spans="1:16" x14ac:dyDescent="0.3">
      <c r="A104" t="s">
        <v>33</v>
      </c>
      <c r="B104" t="s">
        <v>206</v>
      </c>
      <c r="C104" t="s">
        <v>56</v>
      </c>
      <c r="D104" t="s">
        <v>153</v>
      </c>
      <c r="E104" s="2">
        <v>808</v>
      </c>
      <c r="F104" s="2">
        <v>300</v>
      </c>
      <c r="G104">
        <v>19392</v>
      </c>
      <c r="H104" s="2">
        <v>223008</v>
      </c>
      <c r="I104" s="2">
        <v>21008</v>
      </c>
      <c r="J104" s="3">
        <v>44742</v>
      </c>
      <c r="K104" t="s">
        <v>146</v>
      </c>
      <c r="L104" t="s">
        <v>68</v>
      </c>
      <c r="M104">
        <v>2021</v>
      </c>
      <c r="N104" t="s">
        <v>207</v>
      </c>
      <c r="O104" t="s">
        <v>59</v>
      </c>
      <c r="P104" t="s">
        <v>36</v>
      </c>
    </row>
    <row r="105" spans="1:16" x14ac:dyDescent="0.3">
      <c r="A105" t="s">
        <v>42</v>
      </c>
      <c r="B105" t="s">
        <v>208</v>
      </c>
      <c r="C105" t="s">
        <v>90</v>
      </c>
      <c r="D105" t="s">
        <v>153</v>
      </c>
      <c r="E105" s="2">
        <v>1375</v>
      </c>
      <c r="F105" s="2">
        <v>12</v>
      </c>
      <c r="G105">
        <v>1320</v>
      </c>
      <c r="H105" s="2">
        <v>15180</v>
      </c>
      <c r="I105" s="2">
        <v>11055</v>
      </c>
      <c r="J105" s="3">
        <v>44841</v>
      </c>
      <c r="K105" t="s">
        <v>85</v>
      </c>
      <c r="L105" t="s">
        <v>72</v>
      </c>
      <c r="M105">
        <v>2021</v>
      </c>
      <c r="N105" t="s">
        <v>209</v>
      </c>
      <c r="O105" t="s">
        <v>92</v>
      </c>
      <c r="P105" t="s">
        <v>41</v>
      </c>
    </row>
    <row r="106" spans="1:16" x14ac:dyDescent="0.3">
      <c r="A106" t="s">
        <v>42</v>
      </c>
      <c r="B106" t="s">
        <v>210</v>
      </c>
      <c r="C106" t="s">
        <v>62</v>
      </c>
      <c r="D106" t="s">
        <v>153</v>
      </c>
      <c r="E106" s="2">
        <v>367</v>
      </c>
      <c r="F106" s="2">
        <v>12</v>
      </c>
      <c r="G106">
        <v>396.36</v>
      </c>
      <c r="H106" s="2">
        <v>4007.64</v>
      </c>
      <c r="I106" s="2">
        <v>2906.64</v>
      </c>
      <c r="J106" s="3">
        <v>44609</v>
      </c>
      <c r="K106" t="s">
        <v>57</v>
      </c>
      <c r="L106" t="s">
        <v>29</v>
      </c>
      <c r="M106">
        <v>2021</v>
      </c>
      <c r="N106" t="s">
        <v>211</v>
      </c>
      <c r="O106" t="s">
        <v>65</v>
      </c>
      <c r="P106" t="s">
        <v>46</v>
      </c>
    </row>
    <row r="107" spans="1:16" x14ac:dyDescent="0.3">
      <c r="A107" t="s">
        <v>33</v>
      </c>
      <c r="B107" t="s">
        <v>212</v>
      </c>
      <c r="C107" t="s">
        <v>18</v>
      </c>
      <c r="D107" t="s">
        <v>153</v>
      </c>
      <c r="E107" s="2">
        <v>322</v>
      </c>
      <c r="F107" s="2">
        <v>300</v>
      </c>
      <c r="G107">
        <v>8694</v>
      </c>
      <c r="H107" s="2">
        <v>87906</v>
      </c>
      <c r="I107" s="2">
        <v>7406</v>
      </c>
      <c r="J107" s="3">
        <v>44361</v>
      </c>
      <c r="K107" t="s">
        <v>146</v>
      </c>
      <c r="L107" t="s">
        <v>68</v>
      </c>
      <c r="M107">
        <v>2021</v>
      </c>
      <c r="N107" t="s">
        <v>213</v>
      </c>
      <c r="O107" t="s">
        <v>23</v>
      </c>
      <c r="P107" t="s">
        <v>49</v>
      </c>
    </row>
    <row r="108" spans="1:16" x14ac:dyDescent="0.3">
      <c r="A108" t="s">
        <v>16</v>
      </c>
      <c r="B108" t="s">
        <v>214</v>
      </c>
      <c r="C108" t="s">
        <v>18</v>
      </c>
      <c r="D108" t="s">
        <v>153</v>
      </c>
      <c r="E108" s="2">
        <v>1857</v>
      </c>
      <c r="F108" s="2">
        <v>125</v>
      </c>
      <c r="G108">
        <v>20891.25</v>
      </c>
      <c r="H108" s="2">
        <v>211233.75</v>
      </c>
      <c r="I108" s="2">
        <v>-11606.25</v>
      </c>
      <c r="J108" s="3">
        <v>44680</v>
      </c>
      <c r="K108" t="s">
        <v>67</v>
      </c>
      <c r="L108" t="s">
        <v>68</v>
      </c>
      <c r="M108">
        <v>2021</v>
      </c>
      <c r="N108" t="s">
        <v>169</v>
      </c>
      <c r="O108" t="s">
        <v>23</v>
      </c>
      <c r="P108" t="s">
        <v>54</v>
      </c>
    </row>
    <row r="109" spans="1:16" x14ac:dyDescent="0.3">
      <c r="A109" t="s">
        <v>37</v>
      </c>
      <c r="B109" t="s">
        <v>142</v>
      </c>
      <c r="C109" t="s">
        <v>18</v>
      </c>
      <c r="D109" t="s">
        <v>153</v>
      </c>
      <c r="E109" s="2">
        <v>1611</v>
      </c>
      <c r="F109" s="2">
        <v>7</v>
      </c>
      <c r="G109">
        <v>1014.93</v>
      </c>
      <c r="H109" s="2">
        <v>10262.07</v>
      </c>
      <c r="I109" s="2">
        <v>2207.0699999999997</v>
      </c>
      <c r="J109" s="3">
        <v>44895</v>
      </c>
      <c r="K109" t="s">
        <v>71</v>
      </c>
      <c r="L109" t="s">
        <v>72</v>
      </c>
      <c r="M109">
        <v>2021</v>
      </c>
      <c r="N109" t="s">
        <v>143</v>
      </c>
      <c r="O109" t="s">
        <v>23</v>
      </c>
      <c r="P109" t="s">
        <v>36</v>
      </c>
    </row>
    <row r="110" spans="1:16" x14ac:dyDescent="0.3">
      <c r="A110" t="s">
        <v>33</v>
      </c>
      <c r="B110" t="s">
        <v>215</v>
      </c>
      <c r="C110" t="s">
        <v>18</v>
      </c>
      <c r="D110" t="s">
        <v>153</v>
      </c>
      <c r="E110" s="2">
        <v>334</v>
      </c>
      <c r="F110" s="2">
        <v>300</v>
      </c>
      <c r="G110">
        <v>9018</v>
      </c>
      <c r="H110" s="2">
        <v>91182</v>
      </c>
      <c r="I110" s="2">
        <v>7682</v>
      </c>
      <c r="J110" s="3">
        <v>44639</v>
      </c>
      <c r="K110" t="s">
        <v>82</v>
      </c>
      <c r="L110" t="s">
        <v>29</v>
      </c>
      <c r="M110">
        <v>2021</v>
      </c>
      <c r="N110" t="s">
        <v>194</v>
      </c>
      <c r="O110" t="s">
        <v>23</v>
      </c>
      <c r="P110" t="s">
        <v>60</v>
      </c>
    </row>
    <row r="111" spans="1:16" x14ac:dyDescent="0.3">
      <c r="A111" t="s">
        <v>42</v>
      </c>
      <c r="B111" t="s">
        <v>198</v>
      </c>
      <c r="C111" t="s">
        <v>27</v>
      </c>
      <c r="D111" t="s">
        <v>153</v>
      </c>
      <c r="E111" s="2">
        <v>367</v>
      </c>
      <c r="F111" s="2">
        <v>12</v>
      </c>
      <c r="G111">
        <v>396.36</v>
      </c>
      <c r="H111" s="2">
        <v>4007.64</v>
      </c>
      <c r="I111" s="2">
        <v>2906.64</v>
      </c>
      <c r="J111" s="3">
        <v>44737</v>
      </c>
      <c r="K111" t="s">
        <v>146</v>
      </c>
      <c r="L111" t="s">
        <v>68</v>
      </c>
      <c r="M111">
        <v>2021</v>
      </c>
      <c r="N111" t="s">
        <v>199</v>
      </c>
      <c r="O111" t="s">
        <v>31</v>
      </c>
      <c r="P111" t="s">
        <v>54</v>
      </c>
    </row>
    <row r="112" spans="1:16" x14ac:dyDescent="0.3">
      <c r="A112" t="s">
        <v>42</v>
      </c>
      <c r="B112" t="s">
        <v>79</v>
      </c>
      <c r="C112" t="s">
        <v>27</v>
      </c>
      <c r="D112" t="s">
        <v>153</v>
      </c>
      <c r="E112" s="2">
        <v>1775</v>
      </c>
      <c r="F112" s="2">
        <v>12</v>
      </c>
      <c r="G112">
        <v>1917</v>
      </c>
      <c r="H112" s="2">
        <v>19383</v>
      </c>
      <c r="I112" s="2">
        <v>14058</v>
      </c>
      <c r="J112" s="3">
        <v>44629</v>
      </c>
      <c r="K112" t="s">
        <v>82</v>
      </c>
      <c r="L112" t="s">
        <v>29</v>
      </c>
      <c r="M112">
        <v>2021</v>
      </c>
      <c r="N112" t="s">
        <v>80</v>
      </c>
      <c r="O112" t="s">
        <v>31</v>
      </c>
      <c r="P112" t="s">
        <v>49</v>
      </c>
    </row>
    <row r="113" spans="1:16" x14ac:dyDescent="0.3">
      <c r="A113" t="s">
        <v>42</v>
      </c>
      <c r="B113" t="s">
        <v>216</v>
      </c>
      <c r="C113" t="s">
        <v>56</v>
      </c>
      <c r="D113" t="s">
        <v>153</v>
      </c>
      <c r="E113" s="2">
        <v>2234</v>
      </c>
      <c r="F113" s="2">
        <v>12</v>
      </c>
      <c r="G113">
        <v>2412.7199999999998</v>
      </c>
      <c r="H113" s="2">
        <v>24395.279999999999</v>
      </c>
      <c r="I113" s="2">
        <v>17693.28</v>
      </c>
      <c r="J113" s="3">
        <v>44388</v>
      </c>
      <c r="K113" t="s">
        <v>44</v>
      </c>
      <c r="L113" t="s">
        <v>21</v>
      </c>
      <c r="M113">
        <v>2021</v>
      </c>
      <c r="N113" t="s">
        <v>217</v>
      </c>
      <c r="O113" t="s">
        <v>59</v>
      </c>
      <c r="P113" t="s">
        <v>24</v>
      </c>
    </row>
    <row r="114" spans="1:16" x14ac:dyDescent="0.3">
      <c r="A114" t="s">
        <v>25</v>
      </c>
      <c r="B114" t="s">
        <v>218</v>
      </c>
      <c r="C114" t="s">
        <v>90</v>
      </c>
      <c r="D114" t="s">
        <v>153</v>
      </c>
      <c r="E114" s="2">
        <v>970</v>
      </c>
      <c r="F114" s="2">
        <v>15</v>
      </c>
      <c r="G114">
        <v>1309.5</v>
      </c>
      <c r="H114" s="2">
        <v>13240.5</v>
      </c>
      <c r="I114" s="2">
        <v>3540.5</v>
      </c>
      <c r="J114" s="3">
        <v>44789</v>
      </c>
      <c r="K114" t="s">
        <v>39</v>
      </c>
      <c r="L114" t="s">
        <v>21</v>
      </c>
      <c r="M114">
        <v>2021</v>
      </c>
      <c r="N114" t="s">
        <v>219</v>
      </c>
      <c r="O114" t="s">
        <v>92</v>
      </c>
      <c r="P114" t="s">
        <v>32</v>
      </c>
    </row>
    <row r="115" spans="1:16" x14ac:dyDescent="0.3">
      <c r="A115" t="s">
        <v>37</v>
      </c>
      <c r="B115" t="s">
        <v>55</v>
      </c>
      <c r="C115" t="s">
        <v>56</v>
      </c>
      <c r="D115" t="s">
        <v>153</v>
      </c>
      <c r="E115" s="2">
        <v>2682</v>
      </c>
      <c r="F115" s="2">
        <v>20</v>
      </c>
      <c r="G115">
        <v>4827.6000000000004</v>
      </c>
      <c r="H115" s="2">
        <v>48812.4</v>
      </c>
      <c r="I115" s="2">
        <v>21992.400000000001</v>
      </c>
      <c r="J115" s="3">
        <v>44581</v>
      </c>
      <c r="K115" t="s">
        <v>28</v>
      </c>
      <c r="L115" t="s">
        <v>29</v>
      </c>
      <c r="M115">
        <v>2021</v>
      </c>
      <c r="N115" t="s">
        <v>58</v>
      </c>
      <c r="O115" t="s">
        <v>59</v>
      </c>
      <c r="P115" t="s">
        <v>60</v>
      </c>
    </row>
    <row r="116" spans="1:16" x14ac:dyDescent="0.3">
      <c r="A116" t="s">
        <v>42</v>
      </c>
      <c r="B116" t="s">
        <v>220</v>
      </c>
      <c r="C116" t="s">
        <v>90</v>
      </c>
      <c r="D116" t="s">
        <v>153</v>
      </c>
      <c r="E116" s="2">
        <v>306</v>
      </c>
      <c r="F116" s="2">
        <v>12</v>
      </c>
      <c r="G116">
        <v>330.48</v>
      </c>
      <c r="H116" s="2">
        <v>3341.52</v>
      </c>
      <c r="I116" s="2">
        <v>2423.52</v>
      </c>
      <c r="J116" s="3">
        <v>44512</v>
      </c>
      <c r="K116" t="s">
        <v>71</v>
      </c>
      <c r="L116" t="s">
        <v>72</v>
      </c>
      <c r="M116">
        <v>2021</v>
      </c>
      <c r="N116" t="s">
        <v>221</v>
      </c>
      <c r="O116" t="s">
        <v>92</v>
      </c>
      <c r="P116" t="s">
        <v>36</v>
      </c>
    </row>
    <row r="117" spans="1:16" x14ac:dyDescent="0.3">
      <c r="A117" t="s">
        <v>42</v>
      </c>
      <c r="B117" t="s">
        <v>222</v>
      </c>
      <c r="C117" t="s">
        <v>62</v>
      </c>
      <c r="D117" t="s">
        <v>223</v>
      </c>
      <c r="E117" s="2">
        <v>386</v>
      </c>
      <c r="F117" s="2">
        <v>12</v>
      </c>
      <c r="G117">
        <v>463.2</v>
      </c>
      <c r="H117" s="2">
        <v>4168.8</v>
      </c>
      <c r="I117" s="2">
        <v>3010.8</v>
      </c>
      <c r="J117" s="3">
        <v>44794</v>
      </c>
      <c r="K117" t="s">
        <v>39</v>
      </c>
      <c r="L117" t="s">
        <v>21</v>
      </c>
      <c r="M117">
        <v>2021</v>
      </c>
      <c r="N117" t="s">
        <v>224</v>
      </c>
      <c r="O117" t="s">
        <v>65</v>
      </c>
      <c r="P117" t="s">
        <v>41</v>
      </c>
    </row>
    <row r="118" spans="1:16" x14ac:dyDescent="0.3">
      <c r="A118" t="s">
        <v>42</v>
      </c>
      <c r="B118" t="s">
        <v>43</v>
      </c>
      <c r="C118" t="s">
        <v>27</v>
      </c>
      <c r="D118" t="s">
        <v>223</v>
      </c>
      <c r="E118" s="2">
        <v>386</v>
      </c>
      <c r="F118" s="2">
        <v>12</v>
      </c>
      <c r="G118">
        <v>463.2</v>
      </c>
      <c r="H118" s="2">
        <v>4168.8</v>
      </c>
      <c r="I118" s="2">
        <v>3010.8</v>
      </c>
      <c r="J118" s="3">
        <v>44574</v>
      </c>
      <c r="K118" t="s">
        <v>28</v>
      </c>
      <c r="L118" t="s">
        <v>29</v>
      </c>
      <c r="M118">
        <v>2021</v>
      </c>
      <c r="N118" t="s">
        <v>45</v>
      </c>
      <c r="O118" t="s">
        <v>31</v>
      </c>
      <c r="P118" t="s">
        <v>46</v>
      </c>
    </row>
    <row r="119" spans="1:16" x14ac:dyDescent="0.3">
      <c r="A119" t="s">
        <v>16</v>
      </c>
      <c r="B119" t="s">
        <v>225</v>
      </c>
      <c r="C119" t="s">
        <v>62</v>
      </c>
      <c r="D119" t="s">
        <v>223</v>
      </c>
      <c r="E119" s="2">
        <v>1482</v>
      </c>
      <c r="F119" s="2">
        <v>125</v>
      </c>
      <c r="G119">
        <v>18525</v>
      </c>
      <c r="H119" s="2">
        <v>166725</v>
      </c>
      <c r="I119" s="2">
        <v>-11115</v>
      </c>
      <c r="J119" s="3">
        <v>44679</v>
      </c>
      <c r="K119" t="s">
        <v>67</v>
      </c>
      <c r="L119" t="s">
        <v>68</v>
      </c>
      <c r="M119">
        <v>2021</v>
      </c>
      <c r="N119" t="s">
        <v>226</v>
      </c>
      <c r="O119" t="s">
        <v>65</v>
      </c>
      <c r="P119" t="s">
        <v>46</v>
      </c>
    </row>
    <row r="120" spans="1:16" x14ac:dyDescent="0.3">
      <c r="A120" t="s">
        <v>16</v>
      </c>
      <c r="B120" t="s">
        <v>77</v>
      </c>
      <c r="C120" t="s">
        <v>18</v>
      </c>
      <c r="D120" t="s">
        <v>223</v>
      </c>
      <c r="E120" s="2">
        <v>1804</v>
      </c>
      <c r="F120" s="2">
        <v>125</v>
      </c>
      <c r="G120">
        <v>22550</v>
      </c>
      <c r="H120" s="2">
        <v>202950</v>
      </c>
      <c r="I120" s="2">
        <v>-13530</v>
      </c>
      <c r="J120" s="3">
        <v>44672</v>
      </c>
      <c r="K120" t="s">
        <v>67</v>
      </c>
      <c r="L120" t="s">
        <v>68</v>
      </c>
      <c r="M120">
        <v>2021</v>
      </c>
      <c r="N120" t="s">
        <v>78</v>
      </c>
      <c r="O120" t="s">
        <v>23</v>
      </c>
      <c r="P120" t="s">
        <v>46</v>
      </c>
    </row>
    <row r="121" spans="1:16" x14ac:dyDescent="0.3">
      <c r="A121" t="s">
        <v>25</v>
      </c>
      <c r="B121" t="s">
        <v>26</v>
      </c>
      <c r="C121" t="s">
        <v>27</v>
      </c>
      <c r="D121" t="s">
        <v>223</v>
      </c>
      <c r="E121" s="2">
        <v>2167</v>
      </c>
      <c r="F121" s="2">
        <v>15</v>
      </c>
      <c r="G121">
        <v>3250.5</v>
      </c>
      <c r="H121" s="2">
        <v>29254.5</v>
      </c>
      <c r="I121" s="2">
        <v>7584.5</v>
      </c>
      <c r="J121" s="3">
        <v>44464</v>
      </c>
      <c r="K121" t="s">
        <v>20</v>
      </c>
      <c r="L121" t="s">
        <v>21</v>
      </c>
      <c r="M121">
        <v>2021</v>
      </c>
      <c r="N121" t="s">
        <v>30</v>
      </c>
      <c r="O121" t="s">
        <v>31</v>
      </c>
      <c r="P121" t="s">
        <v>32</v>
      </c>
    </row>
    <row r="122" spans="1:16" x14ac:dyDescent="0.3">
      <c r="A122" t="s">
        <v>33</v>
      </c>
      <c r="B122" t="s">
        <v>227</v>
      </c>
      <c r="C122" t="s">
        <v>51</v>
      </c>
      <c r="D122" t="s">
        <v>223</v>
      </c>
      <c r="E122" s="2">
        <v>2294</v>
      </c>
      <c r="F122" s="2">
        <v>300</v>
      </c>
      <c r="G122">
        <v>68820</v>
      </c>
      <c r="H122" s="2">
        <v>619380</v>
      </c>
      <c r="I122" s="2">
        <v>45880</v>
      </c>
      <c r="J122" s="3">
        <v>44662</v>
      </c>
      <c r="K122" t="s">
        <v>67</v>
      </c>
      <c r="L122" t="s">
        <v>68</v>
      </c>
      <c r="M122">
        <v>2021</v>
      </c>
      <c r="N122" t="s">
        <v>159</v>
      </c>
      <c r="O122" t="s">
        <v>53</v>
      </c>
      <c r="P122" t="s">
        <v>49</v>
      </c>
    </row>
    <row r="123" spans="1:16" x14ac:dyDescent="0.3">
      <c r="A123" t="s">
        <v>16</v>
      </c>
      <c r="B123" t="s">
        <v>50</v>
      </c>
      <c r="C123" t="s">
        <v>51</v>
      </c>
      <c r="D123" t="s">
        <v>223</v>
      </c>
      <c r="E123" s="2">
        <v>1916</v>
      </c>
      <c r="F123" s="2">
        <v>125</v>
      </c>
      <c r="G123">
        <v>23950</v>
      </c>
      <c r="H123" s="2">
        <v>215550</v>
      </c>
      <c r="I123" s="2">
        <v>-14370</v>
      </c>
      <c r="J123" s="3">
        <v>44235</v>
      </c>
      <c r="K123" t="s">
        <v>57</v>
      </c>
      <c r="L123" t="s">
        <v>29</v>
      </c>
      <c r="M123">
        <v>2021</v>
      </c>
      <c r="N123" t="s">
        <v>52</v>
      </c>
      <c r="O123" t="s">
        <v>53</v>
      </c>
      <c r="P123" t="s">
        <v>54</v>
      </c>
    </row>
    <row r="124" spans="1:16" x14ac:dyDescent="0.3">
      <c r="A124" t="s">
        <v>33</v>
      </c>
      <c r="B124" t="s">
        <v>206</v>
      </c>
      <c r="C124" t="s">
        <v>56</v>
      </c>
      <c r="D124" t="s">
        <v>223</v>
      </c>
      <c r="E124" s="2">
        <v>2294</v>
      </c>
      <c r="F124" s="2">
        <v>300</v>
      </c>
      <c r="G124">
        <v>68820</v>
      </c>
      <c r="H124" s="2">
        <v>619380</v>
      </c>
      <c r="I124" s="2">
        <v>45880</v>
      </c>
      <c r="J124" s="3">
        <v>44730</v>
      </c>
      <c r="K124" t="s">
        <v>146</v>
      </c>
      <c r="L124" t="s">
        <v>68</v>
      </c>
      <c r="M124">
        <v>2021</v>
      </c>
      <c r="N124" t="s">
        <v>207</v>
      </c>
      <c r="O124" t="s">
        <v>59</v>
      </c>
      <c r="P124" t="s">
        <v>36</v>
      </c>
    </row>
    <row r="125" spans="1:16" x14ac:dyDescent="0.3">
      <c r="A125" t="s">
        <v>25</v>
      </c>
      <c r="B125" t="s">
        <v>228</v>
      </c>
      <c r="C125" t="s">
        <v>56</v>
      </c>
      <c r="D125" t="s">
        <v>223</v>
      </c>
      <c r="E125" s="2">
        <v>2167</v>
      </c>
      <c r="F125" s="2">
        <v>15</v>
      </c>
      <c r="G125">
        <v>3250.5</v>
      </c>
      <c r="H125" s="2">
        <v>29254.5</v>
      </c>
      <c r="I125" s="2">
        <v>7584.5</v>
      </c>
      <c r="J125" s="3">
        <v>44784</v>
      </c>
      <c r="K125" t="s">
        <v>39</v>
      </c>
      <c r="L125" t="s">
        <v>21</v>
      </c>
      <c r="M125">
        <v>2021</v>
      </c>
      <c r="N125" t="s">
        <v>161</v>
      </c>
      <c r="O125" t="s">
        <v>59</v>
      </c>
      <c r="P125" t="s">
        <v>54</v>
      </c>
    </row>
    <row r="126" spans="1:16" x14ac:dyDescent="0.3">
      <c r="A126" t="s">
        <v>37</v>
      </c>
      <c r="B126" t="s">
        <v>170</v>
      </c>
      <c r="C126" t="s">
        <v>56</v>
      </c>
      <c r="D126" t="s">
        <v>223</v>
      </c>
      <c r="E126" s="2">
        <v>1870</v>
      </c>
      <c r="F126" s="2">
        <v>350</v>
      </c>
      <c r="G126">
        <v>65450</v>
      </c>
      <c r="H126" s="2">
        <v>589050</v>
      </c>
      <c r="I126" s="2">
        <v>102850</v>
      </c>
      <c r="J126" s="3">
        <v>44765</v>
      </c>
      <c r="K126" t="s">
        <v>44</v>
      </c>
      <c r="L126" t="s">
        <v>21</v>
      </c>
      <c r="M126">
        <v>2021</v>
      </c>
      <c r="N126" t="s">
        <v>171</v>
      </c>
      <c r="O126" t="s">
        <v>59</v>
      </c>
      <c r="P126" t="s">
        <v>60</v>
      </c>
    </row>
    <row r="127" spans="1:16" x14ac:dyDescent="0.3">
      <c r="A127" t="s">
        <v>42</v>
      </c>
      <c r="B127" t="s">
        <v>229</v>
      </c>
      <c r="C127" t="s">
        <v>62</v>
      </c>
      <c r="D127" t="s">
        <v>223</v>
      </c>
      <c r="E127" s="2">
        <v>1198</v>
      </c>
      <c r="F127" s="2">
        <v>12</v>
      </c>
      <c r="G127">
        <v>1581.36</v>
      </c>
      <c r="H127" s="2">
        <v>12794.64</v>
      </c>
      <c r="I127" s="2">
        <v>9200.64</v>
      </c>
      <c r="J127" s="3">
        <v>44672</v>
      </c>
      <c r="K127" t="s">
        <v>67</v>
      </c>
      <c r="L127" t="s">
        <v>68</v>
      </c>
      <c r="M127">
        <v>2021</v>
      </c>
      <c r="N127" t="s">
        <v>230</v>
      </c>
      <c r="O127" t="s">
        <v>65</v>
      </c>
      <c r="P127" t="s">
        <v>60</v>
      </c>
    </row>
    <row r="128" spans="1:16" x14ac:dyDescent="0.3">
      <c r="A128" t="s">
        <v>42</v>
      </c>
      <c r="B128" t="s">
        <v>106</v>
      </c>
      <c r="C128" t="s">
        <v>27</v>
      </c>
      <c r="D128" t="s">
        <v>223</v>
      </c>
      <c r="E128" s="2">
        <v>1198</v>
      </c>
      <c r="F128" s="2">
        <v>12</v>
      </c>
      <c r="G128">
        <v>1581.36</v>
      </c>
      <c r="H128" s="2">
        <v>12794.64</v>
      </c>
      <c r="I128" s="2">
        <v>9200.64</v>
      </c>
      <c r="J128" s="3">
        <v>44677</v>
      </c>
      <c r="K128" t="s">
        <v>67</v>
      </c>
      <c r="L128" t="s">
        <v>68</v>
      </c>
      <c r="M128">
        <v>2021</v>
      </c>
      <c r="N128" t="s">
        <v>107</v>
      </c>
      <c r="O128" t="s">
        <v>31</v>
      </c>
      <c r="P128" t="s">
        <v>24</v>
      </c>
    </row>
    <row r="129" spans="1:16" x14ac:dyDescent="0.3">
      <c r="A129" t="s">
        <v>42</v>
      </c>
      <c r="B129" t="s">
        <v>231</v>
      </c>
      <c r="C129" t="s">
        <v>56</v>
      </c>
      <c r="D129" t="s">
        <v>223</v>
      </c>
      <c r="E129" s="2">
        <v>1005</v>
      </c>
      <c r="F129" s="2">
        <v>12</v>
      </c>
      <c r="G129">
        <v>1326.6</v>
      </c>
      <c r="H129" s="2">
        <v>10733.4</v>
      </c>
      <c r="I129" s="2">
        <v>7718.4</v>
      </c>
      <c r="J129" s="3">
        <v>44369</v>
      </c>
      <c r="K129" t="s">
        <v>146</v>
      </c>
      <c r="L129" t="s">
        <v>68</v>
      </c>
      <c r="M129">
        <v>2021</v>
      </c>
      <c r="N129" t="s">
        <v>232</v>
      </c>
      <c r="O129" t="s">
        <v>59</v>
      </c>
      <c r="P129" t="s">
        <v>24</v>
      </c>
    </row>
    <row r="130" spans="1:16" x14ac:dyDescent="0.3">
      <c r="A130" t="s">
        <v>25</v>
      </c>
      <c r="B130" t="s">
        <v>233</v>
      </c>
      <c r="C130" t="s">
        <v>62</v>
      </c>
      <c r="D130" t="s">
        <v>223</v>
      </c>
      <c r="E130" s="2">
        <v>1560</v>
      </c>
      <c r="F130" s="2">
        <v>15</v>
      </c>
      <c r="G130">
        <v>2574</v>
      </c>
      <c r="H130" s="2">
        <v>20826</v>
      </c>
      <c r="I130" s="2">
        <v>5226</v>
      </c>
      <c r="J130" s="3">
        <v>44219</v>
      </c>
      <c r="K130" t="s">
        <v>28</v>
      </c>
      <c r="L130" t="s">
        <v>29</v>
      </c>
      <c r="M130">
        <v>2021</v>
      </c>
      <c r="N130" t="s">
        <v>234</v>
      </c>
      <c r="O130" t="s">
        <v>65</v>
      </c>
      <c r="P130" t="s">
        <v>32</v>
      </c>
    </row>
    <row r="131" spans="1:16" x14ac:dyDescent="0.3">
      <c r="A131" t="s">
        <v>37</v>
      </c>
      <c r="B131" t="s">
        <v>189</v>
      </c>
      <c r="C131" t="s">
        <v>62</v>
      </c>
      <c r="D131" t="s">
        <v>223</v>
      </c>
      <c r="E131" s="2">
        <v>2706</v>
      </c>
      <c r="F131" s="2">
        <v>7</v>
      </c>
      <c r="G131">
        <v>2083.62</v>
      </c>
      <c r="H131" s="2">
        <v>16858.38</v>
      </c>
      <c r="I131" s="2">
        <v>3328.380000000001</v>
      </c>
      <c r="J131" s="3">
        <v>44645</v>
      </c>
      <c r="K131" t="s">
        <v>82</v>
      </c>
      <c r="L131" t="s">
        <v>29</v>
      </c>
      <c r="M131">
        <v>2021</v>
      </c>
      <c r="N131" t="s">
        <v>190</v>
      </c>
      <c r="O131" t="s">
        <v>65</v>
      </c>
      <c r="P131" t="s">
        <v>32</v>
      </c>
    </row>
    <row r="132" spans="1:16" x14ac:dyDescent="0.3">
      <c r="A132" t="s">
        <v>37</v>
      </c>
      <c r="B132" t="s">
        <v>130</v>
      </c>
      <c r="C132" t="s">
        <v>18</v>
      </c>
      <c r="D132" t="s">
        <v>223</v>
      </c>
      <c r="E132" s="2">
        <v>2992</v>
      </c>
      <c r="F132" s="2">
        <v>20</v>
      </c>
      <c r="G132">
        <v>6582.4</v>
      </c>
      <c r="H132" s="2">
        <v>53257.599999999999</v>
      </c>
      <c r="I132" s="2">
        <v>23337.599999999999</v>
      </c>
      <c r="J132" s="3">
        <v>44925</v>
      </c>
      <c r="K132" t="s">
        <v>75</v>
      </c>
      <c r="L132" t="s">
        <v>72</v>
      </c>
      <c r="M132">
        <v>2021</v>
      </c>
      <c r="N132" t="s">
        <v>131</v>
      </c>
      <c r="O132" t="s">
        <v>23</v>
      </c>
      <c r="P132" t="s">
        <v>46</v>
      </c>
    </row>
    <row r="133" spans="1:16" x14ac:dyDescent="0.3">
      <c r="A133" t="s">
        <v>37</v>
      </c>
      <c r="B133" t="s">
        <v>200</v>
      </c>
      <c r="C133" t="s">
        <v>27</v>
      </c>
      <c r="D133" t="s">
        <v>223</v>
      </c>
      <c r="E133" s="2">
        <v>2992</v>
      </c>
      <c r="F133" s="2">
        <v>20</v>
      </c>
      <c r="G133">
        <v>6582.4</v>
      </c>
      <c r="H133" s="2">
        <v>53257.599999999999</v>
      </c>
      <c r="I133" s="2">
        <v>23337.599999999999</v>
      </c>
      <c r="J133" s="3">
        <v>44666</v>
      </c>
      <c r="K133" t="s">
        <v>67</v>
      </c>
      <c r="L133" t="s">
        <v>68</v>
      </c>
      <c r="M133">
        <v>2021</v>
      </c>
      <c r="N133" t="s">
        <v>201</v>
      </c>
      <c r="O133" t="s">
        <v>31</v>
      </c>
      <c r="P133" t="s">
        <v>60</v>
      </c>
    </row>
    <row r="134" spans="1:16" x14ac:dyDescent="0.3">
      <c r="A134" t="s">
        <v>37</v>
      </c>
      <c r="B134" t="s">
        <v>166</v>
      </c>
      <c r="C134" t="s">
        <v>51</v>
      </c>
      <c r="D134" t="s">
        <v>223</v>
      </c>
      <c r="E134" s="2">
        <v>2805</v>
      </c>
      <c r="F134" s="2">
        <v>20</v>
      </c>
      <c r="G134">
        <v>6171</v>
      </c>
      <c r="H134" s="2">
        <v>49929</v>
      </c>
      <c r="I134" s="2">
        <v>21879</v>
      </c>
      <c r="J134" s="3">
        <v>44478</v>
      </c>
      <c r="K134" t="s">
        <v>85</v>
      </c>
      <c r="L134" t="s">
        <v>72</v>
      </c>
      <c r="M134">
        <v>2021</v>
      </c>
      <c r="N134" t="s">
        <v>167</v>
      </c>
      <c r="O134" t="s">
        <v>53</v>
      </c>
      <c r="P134" t="s">
        <v>49</v>
      </c>
    </row>
    <row r="135" spans="1:16" x14ac:dyDescent="0.3">
      <c r="A135" t="s">
        <v>25</v>
      </c>
      <c r="B135" t="s">
        <v>235</v>
      </c>
      <c r="C135" t="s">
        <v>51</v>
      </c>
      <c r="D135" t="s">
        <v>223</v>
      </c>
      <c r="E135" s="2">
        <v>655</v>
      </c>
      <c r="F135" s="2">
        <v>15</v>
      </c>
      <c r="G135">
        <v>1080.75</v>
      </c>
      <c r="H135" s="2">
        <v>8744.25</v>
      </c>
      <c r="I135" s="2">
        <v>2194.25</v>
      </c>
      <c r="J135" s="3">
        <v>44500</v>
      </c>
      <c r="K135" t="s">
        <v>85</v>
      </c>
      <c r="L135" t="s">
        <v>72</v>
      </c>
      <c r="M135">
        <v>2021</v>
      </c>
      <c r="N135" t="s">
        <v>236</v>
      </c>
      <c r="O135" t="s">
        <v>53</v>
      </c>
      <c r="P135" t="s">
        <v>36</v>
      </c>
    </row>
    <row r="136" spans="1:16" x14ac:dyDescent="0.3">
      <c r="A136" t="s">
        <v>37</v>
      </c>
      <c r="B136" t="s">
        <v>118</v>
      </c>
      <c r="C136" t="s">
        <v>51</v>
      </c>
      <c r="D136" t="s">
        <v>223</v>
      </c>
      <c r="E136" s="2">
        <v>344</v>
      </c>
      <c r="F136" s="2">
        <v>350</v>
      </c>
      <c r="G136">
        <v>13244</v>
      </c>
      <c r="H136" s="2">
        <v>107156</v>
      </c>
      <c r="I136" s="2">
        <v>17716</v>
      </c>
      <c r="J136" s="3">
        <v>44654</v>
      </c>
      <c r="K136" t="s">
        <v>67</v>
      </c>
      <c r="L136" t="s">
        <v>68</v>
      </c>
      <c r="M136">
        <v>2021</v>
      </c>
      <c r="N136" t="s">
        <v>119</v>
      </c>
      <c r="O136" t="s">
        <v>53</v>
      </c>
      <c r="P136" t="s">
        <v>54</v>
      </c>
    </row>
    <row r="137" spans="1:16" x14ac:dyDescent="0.3">
      <c r="A137" t="s">
        <v>37</v>
      </c>
      <c r="B137" t="s">
        <v>168</v>
      </c>
      <c r="C137" t="s">
        <v>56</v>
      </c>
      <c r="D137" t="s">
        <v>223</v>
      </c>
      <c r="E137" s="2">
        <v>2935</v>
      </c>
      <c r="F137" s="2">
        <v>20</v>
      </c>
      <c r="G137">
        <v>6457</v>
      </c>
      <c r="H137" s="2">
        <v>52243</v>
      </c>
      <c r="I137" s="2">
        <v>22893</v>
      </c>
      <c r="J137" s="3">
        <v>44629</v>
      </c>
      <c r="K137" t="s">
        <v>82</v>
      </c>
      <c r="L137" t="s">
        <v>29</v>
      </c>
      <c r="M137">
        <v>2021</v>
      </c>
      <c r="N137" t="s">
        <v>169</v>
      </c>
      <c r="O137" t="s">
        <v>59</v>
      </c>
      <c r="P137" t="s">
        <v>54</v>
      </c>
    </row>
    <row r="138" spans="1:16" x14ac:dyDescent="0.3">
      <c r="A138" t="s">
        <v>16</v>
      </c>
      <c r="B138" t="s">
        <v>237</v>
      </c>
      <c r="C138" t="s">
        <v>90</v>
      </c>
      <c r="D138" t="s">
        <v>223</v>
      </c>
      <c r="E138" s="2">
        <v>947</v>
      </c>
      <c r="F138" s="2">
        <v>125</v>
      </c>
      <c r="G138">
        <v>13021.25</v>
      </c>
      <c r="H138" s="2">
        <v>105353.75</v>
      </c>
      <c r="I138" s="2">
        <v>-8286.25</v>
      </c>
      <c r="J138" s="3">
        <v>44493</v>
      </c>
      <c r="K138" t="s">
        <v>85</v>
      </c>
      <c r="L138" t="s">
        <v>72</v>
      </c>
      <c r="M138">
        <v>2021</v>
      </c>
      <c r="N138" t="s">
        <v>238</v>
      </c>
      <c r="O138" t="s">
        <v>92</v>
      </c>
      <c r="P138" t="s">
        <v>41</v>
      </c>
    </row>
    <row r="139" spans="1:16" x14ac:dyDescent="0.3">
      <c r="A139" t="s">
        <v>37</v>
      </c>
      <c r="B139" t="s">
        <v>239</v>
      </c>
      <c r="C139" t="s">
        <v>90</v>
      </c>
      <c r="D139" t="s">
        <v>223</v>
      </c>
      <c r="E139" s="2">
        <v>344</v>
      </c>
      <c r="F139" s="2">
        <v>350</v>
      </c>
      <c r="G139">
        <v>13244</v>
      </c>
      <c r="H139" s="2">
        <v>107156</v>
      </c>
      <c r="I139" s="2">
        <v>17716</v>
      </c>
      <c r="J139" s="3">
        <v>44837</v>
      </c>
      <c r="K139" t="s">
        <v>85</v>
      </c>
      <c r="L139" t="s">
        <v>72</v>
      </c>
      <c r="M139">
        <v>2021</v>
      </c>
      <c r="N139" t="s">
        <v>173</v>
      </c>
      <c r="O139" t="s">
        <v>92</v>
      </c>
      <c r="P139" t="s">
        <v>46</v>
      </c>
    </row>
    <row r="140" spans="1:16" x14ac:dyDescent="0.3">
      <c r="A140" t="s">
        <v>37</v>
      </c>
      <c r="B140" t="s">
        <v>110</v>
      </c>
      <c r="C140" t="s">
        <v>27</v>
      </c>
      <c r="D140" t="s">
        <v>223</v>
      </c>
      <c r="E140" s="2">
        <v>380</v>
      </c>
      <c r="F140" s="2">
        <v>7</v>
      </c>
      <c r="G140">
        <v>292.60000000000002</v>
      </c>
      <c r="H140" s="2">
        <v>2367.4</v>
      </c>
      <c r="I140" s="2">
        <v>467.40000000000009</v>
      </c>
      <c r="J140" s="3">
        <v>44681</v>
      </c>
      <c r="K140" t="s">
        <v>67</v>
      </c>
      <c r="L140" t="s">
        <v>68</v>
      </c>
      <c r="M140">
        <v>2021</v>
      </c>
      <c r="N140" t="s">
        <v>111</v>
      </c>
      <c r="O140" t="s">
        <v>31</v>
      </c>
      <c r="P140" t="s">
        <v>36</v>
      </c>
    </row>
    <row r="141" spans="1:16" x14ac:dyDescent="0.3">
      <c r="A141" t="s">
        <v>16</v>
      </c>
      <c r="B141" t="s">
        <v>240</v>
      </c>
      <c r="C141" t="s">
        <v>62</v>
      </c>
      <c r="D141" t="s">
        <v>223</v>
      </c>
      <c r="E141" s="2">
        <v>2416</v>
      </c>
      <c r="F141" s="2">
        <v>125</v>
      </c>
      <c r="G141">
        <v>36240</v>
      </c>
      <c r="H141" s="2">
        <v>265760</v>
      </c>
      <c r="I141" s="2">
        <v>-24160</v>
      </c>
      <c r="J141" s="3">
        <v>44511</v>
      </c>
      <c r="K141" t="s">
        <v>71</v>
      </c>
      <c r="L141" t="s">
        <v>72</v>
      </c>
      <c r="M141">
        <v>2021</v>
      </c>
      <c r="N141" t="s">
        <v>241</v>
      </c>
      <c r="O141" t="s">
        <v>65</v>
      </c>
      <c r="P141" t="s">
        <v>49</v>
      </c>
    </row>
    <row r="142" spans="1:16" x14ac:dyDescent="0.3">
      <c r="A142" t="s">
        <v>37</v>
      </c>
      <c r="B142" t="s">
        <v>156</v>
      </c>
      <c r="C142" t="s">
        <v>18</v>
      </c>
      <c r="D142" t="s">
        <v>223</v>
      </c>
      <c r="E142" s="2">
        <v>1715</v>
      </c>
      <c r="F142" s="2">
        <v>20</v>
      </c>
      <c r="G142">
        <v>4116</v>
      </c>
      <c r="H142" s="2">
        <v>30184</v>
      </c>
      <c r="I142" s="2">
        <v>13034</v>
      </c>
      <c r="J142" s="3">
        <v>44907</v>
      </c>
      <c r="K142" t="s">
        <v>75</v>
      </c>
      <c r="L142" t="s">
        <v>72</v>
      </c>
      <c r="M142">
        <v>2021</v>
      </c>
      <c r="N142" t="s">
        <v>157</v>
      </c>
      <c r="O142" t="s">
        <v>23</v>
      </c>
      <c r="P142" t="s">
        <v>24</v>
      </c>
    </row>
    <row r="143" spans="1:16" x14ac:dyDescent="0.3">
      <c r="A143" t="s">
        <v>33</v>
      </c>
      <c r="B143" t="s">
        <v>212</v>
      </c>
      <c r="C143" t="s">
        <v>18</v>
      </c>
      <c r="D143" t="s">
        <v>223</v>
      </c>
      <c r="E143" s="2">
        <v>1186</v>
      </c>
      <c r="F143" s="2">
        <v>300</v>
      </c>
      <c r="G143">
        <v>42696</v>
      </c>
      <c r="H143" s="2">
        <v>313104</v>
      </c>
      <c r="I143" s="2">
        <v>16604</v>
      </c>
      <c r="J143" s="3">
        <v>44759</v>
      </c>
      <c r="K143" t="s">
        <v>44</v>
      </c>
      <c r="L143" t="s">
        <v>21</v>
      </c>
      <c r="M143">
        <v>2021</v>
      </c>
      <c r="N143" t="s">
        <v>213</v>
      </c>
      <c r="O143" t="s">
        <v>23</v>
      </c>
      <c r="P143" t="s">
        <v>49</v>
      </c>
    </row>
    <row r="144" spans="1:16" x14ac:dyDescent="0.3">
      <c r="A144" t="s">
        <v>37</v>
      </c>
      <c r="B144" t="s">
        <v>136</v>
      </c>
      <c r="C144" t="s">
        <v>27</v>
      </c>
      <c r="D144" t="s">
        <v>223</v>
      </c>
      <c r="E144" s="2">
        <v>1715</v>
      </c>
      <c r="F144" s="2">
        <v>20</v>
      </c>
      <c r="G144">
        <v>4116</v>
      </c>
      <c r="H144" s="2">
        <v>30184</v>
      </c>
      <c r="I144" s="2">
        <v>13034</v>
      </c>
      <c r="J144" s="3">
        <v>44853</v>
      </c>
      <c r="K144" t="s">
        <v>85</v>
      </c>
      <c r="L144" t="s">
        <v>72</v>
      </c>
      <c r="M144">
        <v>2021</v>
      </c>
      <c r="N144" t="s">
        <v>137</v>
      </c>
      <c r="O144" t="s">
        <v>31</v>
      </c>
      <c r="P144" t="s">
        <v>60</v>
      </c>
    </row>
    <row r="145" spans="1:16" x14ac:dyDescent="0.3">
      <c r="A145" t="s">
        <v>25</v>
      </c>
      <c r="B145" t="s">
        <v>144</v>
      </c>
      <c r="C145" t="s">
        <v>27</v>
      </c>
      <c r="D145" t="s">
        <v>223</v>
      </c>
      <c r="E145" s="2">
        <v>380</v>
      </c>
      <c r="F145" s="2">
        <v>15</v>
      </c>
      <c r="G145">
        <v>684</v>
      </c>
      <c r="H145" s="2">
        <v>5016</v>
      </c>
      <c r="I145" s="2">
        <v>1216</v>
      </c>
      <c r="J145" s="3">
        <v>44698</v>
      </c>
      <c r="K145" t="s">
        <v>104</v>
      </c>
      <c r="L145" t="s">
        <v>68</v>
      </c>
      <c r="M145">
        <v>2021</v>
      </c>
      <c r="N145" t="s">
        <v>145</v>
      </c>
      <c r="O145" t="s">
        <v>31</v>
      </c>
      <c r="P145" t="s">
        <v>41</v>
      </c>
    </row>
    <row r="146" spans="1:16" x14ac:dyDescent="0.3">
      <c r="A146" t="s">
        <v>37</v>
      </c>
      <c r="B146" t="s">
        <v>168</v>
      </c>
      <c r="C146" t="s">
        <v>56</v>
      </c>
      <c r="D146" t="s">
        <v>223</v>
      </c>
      <c r="E146" s="2">
        <v>623</v>
      </c>
      <c r="F146" s="2">
        <v>350</v>
      </c>
      <c r="G146">
        <v>26166</v>
      </c>
      <c r="H146" s="2">
        <v>191884</v>
      </c>
      <c r="I146" s="2">
        <v>29904</v>
      </c>
      <c r="J146" s="3">
        <v>44255</v>
      </c>
      <c r="K146" t="s">
        <v>57</v>
      </c>
      <c r="L146" t="s">
        <v>29</v>
      </c>
      <c r="M146">
        <v>2021</v>
      </c>
      <c r="N146" t="s">
        <v>169</v>
      </c>
      <c r="O146" t="s">
        <v>59</v>
      </c>
      <c r="P146" t="s">
        <v>54</v>
      </c>
    </row>
    <row r="147" spans="1:16" x14ac:dyDescent="0.3">
      <c r="A147" t="s">
        <v>25</v>
      </c>
      <c r="B147" t="s">
        <v>149</v>
      </c>
      <c r="C147" t="s">
        <v>90</v>
      </c>
      <c r="D147" t="s">
        <v>223</v>
      </c>
      <c r="E147" s="2">
        <v>2548</v>
      </c>
      <c r="F147" s="2">
        <v>15</v>
      </c>
      <c r="G147">
        <v>4586.3999999999996</v>
      </c>
      <c r="H147" s="2">
        <v>33633.599999999999</v>
      </c>
      <c r="I147" s="2">
        <v>8153.5999999999985</v>
      </c>
      <c r="J147" s="3">
        <v>44546</v>
      </c>
      <c r="K147" t="s">
        <v>75</v>
      </c>
      <c r="L147" t="s">
        <v>72</v>
      </c>
      <c r="M147">
        <v>2021</v>
      </c>
      <c r="N147" t="s">
        <v>150</v>
      </c>
      <c r="O147" t="s">
        <v>92</v>
      </c>
      <c r="P147" t="s">
        <v>49</v>
      </c>
    </row>
    <row r="148" spans="1:16" x14ac:dyDescent="0.3">
      <c r="A148" t="s">
        <v>42</v>
      </c>
      <c r="B148" t="s">
        <v>242</v>
      </c>
      <c r="C148" t="s">
        <v>90</v>
      </c>
      <c r="D148" t="s">
        <v>223</v>
      </c>
      <c r="E148" s="2">
        <v>2761</v>
      </c>
      <c r="F148" s="2">
        <v>12</v>
      </c>
      <c r="G148">
        <v>3975.84</v>
      </c>
      <c r="H148" s="2">
        <v>29156.16</v>
      </c>
      <c r="I148" s="2">
        <v>20873.16</v>
      </c>
      <c r="J148" s="3">
        <v>44203</v>
      </c>
      <c r="K148" t="s">
        <v>28</v>
      </c>
      <c r="L148" t="s">
        <v>29</v>
      </c>
      <c r="M148">
        <v>2021</v>
      </c>
      <c r="N148" t="s">
        <v>243</v>
      </c>
      <c r="O148" t="s">
        <v>92</v>
      </c>
      <c r="P148" t="s">
        <v>54</v>
      </c>
    </row>
    <row r="149" spans="1:16" x14ac:dyDescent="0.3">
      <c r="A149" t="s">
        <v>37</v>
      </c>
      <c r="B149" t="s">
        <v>154</v>
      </c>
      <c r="C149" t="s">
        <v>62</v>
      </c>
      <c r="D149" t="s">
        <v>223</v>
      </c>
      <c r="E149" s="2">
        <v>442</v>
      </c>
      <c r="F149" s="2">
        <v>20</v>
      </c>
      <c r="G149">
        <v>1149.2</v>
      </c>
      <c r="H149" s="2">
        <v>7690.8</v>
      </c>
      <c r="I149" s="2">
        <v>3270.8</v>
      </c>
      <c r="J149" s="3">
        <v>44277</v>
      </c>
      <c r="K149" t="s">
        <v>82</v>
      </c>
      <c r="L149" t="s">
        <v>29</v>
      </c>
      <c r="M149">
        <v>2021</v>
      </c>
      <c r="N149" t="s">
        <v>155</v>
      </c>
      <c r="O149" t="s">
        <v>65</v>
      </c>
      <c r="P149" t="s">
        <v>60</v>
      </c>
    </row>
    <row r="150" spans="1:16" x14ac:dyDescent="0.3">
      <c r="A150" t="s">
        <v>25</v>
      </c>
      <c r="B150" t="s">
        <v>244</v>
      </c>
      <c r="C150" t="s">
        <v>51</v>
      </c>
      <c r="D150" t="s">
        <v>223</v>
      </c>
      <c r="E150" s="2">
        <v>660</v>
      </c>
      <c r="F150" s="2">
        <v>15</v>
      </c>
      <c r="G150">
        <v>1287</v>
      </c>
      <c r="H150" s="2">
        <v>8613</v>
      </c>
      <c r="I150" s="2">
        <v>2013</v>
      </c>
      <c r="J150" s="3">
        <v>44746</v>
      </c>
      <c r="K150" t="s">
        <v>44</v>
      </c>
      <c r="L150" t="s">
        <v>21</v>
      </c>
      <c r="M150">
        <v>2021</v>
      </c>
      <c r="N150" t="s">
        <v>245</v>
      </c>
      <c r="O150" t="s">
        <v>53</v>
      </c>
      <c r="P150" t="s">
        <v>60</v>
      </c>
    </row>
    <row r="151" spans="1:16" x14ac:dyDescent="0.3">
      <c r="A151" t="s">
        <v>33</v>
      </c>
      <c r="B151" t="s">
        <v>246</v>
      </c>
      <c r="C151" t="s">
        <v>51</v>
      </c>
      <c r="D151" t="s">
        <v>223</v>
      </c>
      <c r="E151" s="2">
        <v>2605</v>
      </c>
      <c r="F151" s="2">
        <v>300</v>
      </c>
      <c r="G151">
        <v>101595</v>
      </c>
      <c r="H151" s="2">
        <v>679905</v>
      </c>
      <c r="I151" s="2">
        <v>28655</v>
      </c>
      <c r="J151" s="3">
        <v>44794</v>
      </c>
      <c r="K151" t="s">
        <v>39</v>
      </c>
      <c r="L151" t="s">
        <v>21</v>
      </c>
      <c r="M151">
        <v>2021</v>
      </c>
      <c r="N151" t="s">
        <v>247</v>
      </c>
      <c r="O151" t="s">
        <v>53</v>
      </c>
      <c r="P151" t="s">
        <v>24</v>
      </c>
    </row>
    <row r="152" spans="1:16" x14ac:dyDescent="0.3">
      <c r="A152" t="s">
        <v>42</v>
      </c>
      <c r="B152" t="s">
        <v>248</v>
      </c>
      <c r="C152" t="s">
        <v>90</v>
      </c>
      <c r="D152" t="s">
        <v>223</v>
      </c>
      <c r="E152" s="2">
        <v>1770</v>
      </c>
      <c r="F152" s="2">
        <v>12</v>
      </c>
      <c r="G152">
        <v>2761.2</v>
      </c>
      <c r="H152" s="2">
        <v>18478.8</v>
      </c>
      <c r="I152" s="2">
        <v>13168.8</v>
      </c>
      <c r="J152" s="3">
        <v>44217</v>
      </c>
      <c r="K152" t="s">
        <v>28</v>
      </c>
      <c r="L152" t="s">
        <v>29</v>
      </c>
      <c r="M152">
        <v>2021</v>
      </c>
      <c r="N152" t="s">
        <v>205</v>
      </c>
      <c r="O152" t="s">
        <v>92</v>
      </c>
      <c r="P152" t="s">
        <v>32</v>
      </c>
    </row>
    <row r="153" spans="1:16" x14ac:dyDescent="0.3">
      <c r="A153" t="s">
        <v>37</v>
      </c>
      <c r="B153" t="s">
        <v>172</v>
      </c>
      <c r="C153" t="s">
        <v>62</v>
      </c>
      <c r="D153" t="s">
        <v>223</v>
      </c>
      <c r="E153" s="2">
        <v>2996</v>
      </c>
      <c r="F153" s="2">
        <v>7</v>
      </c>
      <c r="G153">
        <v>2936.08</v>
      </c>
      <c r="H153" s="2">
        <v>18035.919999999998</v>
      </c>
      <c r="I153" s="2">
        <v>3055.9199999999983</v>
      </c>
      <c r="J153" s="3">
        <v>44351</v>
      </c>
      <c r="K153" t="s">
        <v>146</v>
      </c>
      <c r="L153" t="s">
        <v>68</v>
      </c>
      <c r="M153">
        <v>2021</v>
      </c>
      <c r="N153" t="s">
        <v>173</v>
      </c>
      <c r="O153" t="s">
        <v>65</v>
      </c>
      <c r="P153" t="s">
        <v>24</v>
      </c>
    </row>
    <row r="154" spans="1:16" x14ac:dyDescent="0.3">
      <c r="A154" t="s">
        <v>37</v>
      </c>
      <c r="B154" t="s">
        <v>249</v>
      </c>
      <c r="C154" t="s">
        <v>18</v>
      </c>
      <c r="D154" t="s">
        <v>223</v>
      </c>
      <c r="E154" s="2">
        <v>2996</v>
      </c>
      <c r="F154" s="2">
        <v>7</v>
      </c>
      <c r="G154">
        <v>2936.08</v>
      </c>
      <c r="H154" s="2">
        <v>18035.919999999998</v>
      </c>
      <c r="I154" s="2">
        <v>3055.9199999999983</v>
      </c>
      <c r="J154" s="3">
        <v>44626</v>
      </c>
      <c r="K154" t="s">
        <v>82</v>
      </c>
      <c r="L154" t="s">
        <v>29</v>
      </c>
      <c r="M154">
        <v>2021</v>
      </c>
      <c r="N154" t="s">
        <v>207</v>
      </c>
      <c r="O154" t="s">
        <v>23</v>
      </c>
      <c r="P154" t="s">
        <v>36</v>
      </c>
    </row>
    <row r="155" spans="1:16" x14ac:dyDescent="0.3">
      <c r="A155" t="s">
        <v>42</v>
      </c>
      <c r="B155" t="s">
        <v>89</v>
      </c>
      <c r="C155" t="s">
        <v>90</v>
      </c>
      <c r="D155" t="s">
        <v>223</v>
      </c>
      <c r="E155" s="2">
        <v>2015</v>
      </c>
      <c r="F155" s="2">
        <v>12</v>
      </c>
      <c r="G155">
        <v>3385.2</v>
      </c>
      <c r="H155" s="2">
        <v>20794.8</v>
      </c>
      <c r="I155" s="2">
        <v>14749.8</v>
      </c>
      <c r="J155" s="3">
        <v>44780</v>
      </c>
      <c r="K155" t="s">
        <v>39</v>
      </c>
      <c r="L155" t="s">
        <v>21</v>
      </c>
      <c r="M155">
        <v>2021</v>
      </c>
      <c r="N155" t="s">
        <v>91</v>
      </c>
      <c r="O155" t="s">
        <v>92</v>
      </c>
      <c r="P155" t="s">
        <v>32</v>
      </c>
    </row>
    <row r="156" spans="1:16" x14ac:dyDescent="0.3">
      <c r="A156" t="s">
        <v>16</v>
      </c>
      <c r="B156" t="s">
        <v>225</v>
      </c>
      <c r="C156" t="s">
        <v>62</v>
      </c>
      <c r="D156" t="s">
        <v>223</v>
      </c>
      <c r="E156" s="2">
        <v>1023</v>
      </c>
      <c r="F156" s="2">
        <v>125</v>
      </c>
      <c r="G156">
        <v>17902.5</v>
      </c>
      <c r="H156" s="2">
        <v>109972.5</v>
      </c>
      <c r="I156" s="2">
        <v>-12787.5</v>
      </c>
      <c r="J156" s="3">
        <v>44283</v>
      </c>
      <c r="K156" t="s">
        <v>82</v>
      </c>
      <c r="L156" t="s">
        <v>29</v>
      </c>
      <c r="M156">
        <v>2021</v>
      </c>
      <c r="N156" t="s">
        <v>226</v>
      </c>
      <c r="O156" t="s">
        <v>65</v>
      </c>
      <c r="P156" t="s">
        <v>46</v>
      </c>
    </row>
    <row r="157" spans="1:16" x14ac:dyDescent="0.3">
      <c r="A157" t="s">
        <v>16</v>
      </c>
      <c r="B157" t="s">
        <v>250</v>
      </c>
      <c r="C157" t="s">
        <v>62</v>
      </c>
      <c r="D157" t="s">
        <v>223</v>
      </c>
      <c r="E157" s="2">
        <v>2821</v>
      </c>
      <c r="F157" s="2">
        <v>125</v>
      </c>
      <c r="G157">
        <v>49367.5</v>
      </c>
      <c r="H157" s="2">
        <v>303257.5</v>
      </c>
      <c r="I157" s="2">
        <v>-35262.5</v>
      </c>
      <c r="J157" s="3">
        <v>44750</v>
      </c>
      <c r="K157" t="s">
        <v>44</v>
      </c>
      <c r="L157" t="s">
        <v>21</v>
      </c>
      <c r="M157">
        <v>2021</v>
      </c>
      <c r="N157" t="s">
        <v>209</v>
      </c>
      <c r="O157" t="s">
        <v>65</v>
      </c>
      <c r="P157" t="s">
        <v>41</v>
      </c>
    </row>
    <row r="158" spans="1:16" x14ac:dyDescent="0.3">
      <c r="A158" t="s">
        <v>37</v>
      </c>
      <c r="B158" t="s">
        <v>156</v>
      </c>
      <c r="C158" t="s">
        <v>18</v>
      </c>
      <c r="D158" t="s">
        <v>223</v>
      </c>
      <c r="E158" s="2">
        <v>1727</v>
      </c>
      <c r="F158" s="2">
        <v>7</v>
      </c>
      <c r="G158">
        <v>1692.46</v>
      </c>
      <c r="H158" s="2">
        <v>10396.540000000001</v>
      </c>
      <c r="I158" s="2">
        <v>1761.5400000000009</v>
      </c>
      <c r="J158" s="3">
        <v>44516</v>
      </c>
      <c r="K158" t="s">
        <v>71</v>
      </c>
      <c r="L158" t="s">
        <v>72</v>
      </c>
      <c r="M158">
        <v>2021</v>
      </c>
      <c r="N158" t="s">
        <v>157</v>
      </c>
      <c r="O158" t="s">
        <v>23</v>
      </c>
      <c r="P158" t="s">
        <v>24</v>
      </c>
    </row>
    <row r="159" spans="1:16" x14ac:dyDescent="0.3">
      <c r="A159" t="s">
        <v>25</v>
      </c>
      <c r="B159" t="s">
        <v>47</v>
      </c>
      <c r="C159" t="s">
        <v>27</v>
      </c>
      <c r="D159" t="s">
        <v>223</v>
      </c>
      <c r="E159" s="2">
        <v>2470</v>
      </c>
      <c r="F159" s="2">
        <v>15</v>
      </c>
      <c r="G159">
        <v>5187</v>
      </c>
      <c r="H159" s="2">
        <v>31863</v>
      </c>
      <c r="I159" s="2">
        <v>7163</v>
      </c>
      <c r="J159" s="3">
        <v>44287</v>
      </c>
      <c r="K159" t="s">
        <v>67</v>
      </c>
      <c r="L159" t="s">
        <v>68</v>
      </c>
      <c r="M159">
        <v>2021</v>
      </c>
      <c r="N159" t="s">
        <v>48</v>
      </c>
      <c r="O159" t="s">
        <v>31</v>
      </c>
      <c r="P159" t="s">
        <v>49</v>
      </c>
    </row>
    <row r="160" spans="1:16" x14ac:dyDescent="0.3">
      <c r="A160" t="s">
        <v>25</v>
      </c>
      <c r="B160" t="s">
        <v>47</v>
      </c>
      <c r="C160" t="s">
        <v>27</v>
      </c>
      <c r="D160" t="s">
        <v>223</v>
      </c>
      <c r="E160" s="2">
        <v>1743</v>
      </c>
      <c r="F160" s="2">
        <v>15</v>
      </c>
      <c r="G160">
        <v>3660.3</v>
      </c>
      <c r="H160" s="2">
        <v>22484.7</v>
      </c>
      <c r="I160" s="2">
        <v>5054.7000000000007</v>
      </c>
      <c r="J160" s="3">
        <v>44673</v>
      </c>
      <c r="K160" t="s">
        <v>67</v>
      </c>
      <c r="L160" t="s">
        <v>68</v>
      </c>
      <c r="M160">
        <v>2021</v>
      </c>
      <c r="N160" t="s">
        <v>48</v>
      </c>
      <c r="O160" t="s">
        <v>31</v>
      </c>
      <c r="P160" t="s">
        <v>49</v>
      </c>
    </row>
    <row r="161" spans="1:16" x14ac:dyDescent="0.3">
      <c r="A161" t="s">
        <v>42</v>
      </c>
      <c r="B161" t="s">
        <v>178</v>
      </c>
      <c r="C161" t="s">
        <v>27</v>
      </c>
      <c r="D161" t="s">
        <v>223</v>
      </c>
      <c r="E161" s="2">
        <v>2222</v>
      </c>
      <c r="F161" s="2">
        <v>12</v>
      </c>
      <c r="G161">
        <v>3732.96</v>
      </c>
      <c r="H161" s="2">
        <v>22931.040000000001</v>
      </c>
      <c r="I161" s="2">
        <v>16265.04</v>
      </c>
      <c r="J161" s="3">
        <v>44317</v>
      </c>
      <c r="K161" t="s">
        <v>104</v>
      </c>
      <c r="L161" t="s">
        <v>68</v>
      </c>
      <c r="M161">
        <v>2021</v>
      </c>
      <c r="N161" t="s">
        <v>141</v>
      </c>
      <c r="O161" t="s">
        <v>31</v>
      </c>
      <c r="P161" t="s">
        <v>41</v>
      </c>
    </row>
    <row r="162" spans="1:16" x14ac:dyDescent="0.3">
      <c r="A162" t="s">
        <v>37</v>
      </c>
      <c r="B162" t="s">
        <v>162</v>
      </c>
      <c r="C162" t="s">
        <v>27</v>
      </c>
      <c r="D162" t="s">
        <v>223</v>
      </c>
      <c r="E162" s="2">
        <v>1922</v>
      </c>
      <c r="F162" s="2">
        <v>350</v>
      </c>
      <c r="G162">
        <v>94178</v>
      </c>
      <c r="H162" s="2">
        <v>578522</v>
      </c>
      <c r="I162" s="2">
        <v>78802</v>
      </c>
      <c r="J162" s="3">
        <v>44731</v>
      </c>
      <c r="K162" t="s">
        <v>146</v>
      </c>
      <c r="L162" t="s">
        <v>68</v>
      </c>
      <c r="M162">
        <v>2021</v>
      </c>
      <c r="N162" t="s">
        <v>163</v>
      </c>
      <c r="O162" t="s">
        <v>31</v>
      </c>
      <c r="P162" t="s">
        <v>41</v>
      </c>
    </row>
    <row r="163" spans="1:16" x14ac:dyDescent="0.3">
      <c r="A163" t="s">
        <v>33</v>
      </c>
      <c r="B163" t="s">
        <v>251</v>
      </c>
      <c r="C163" t="s">
        <v>51</v>
      </c>
      <c r="D163" t="s">
        <v>223</v>
      </c>
      <c r="E163" s="2">
        <v>269</v>
      </c>
      <c r="F163" s="2">
        <v>300</v>
      </c>
      <c r="G163">
        <v>11298</v>
      </c>
      <c r="H163" s="2">
        <v>69402</v>
      </c>
      <c r="I163" s="2">
        <v>2152</v>
      </c>
      <c r="J163" s="3">
        <v>44569</v>
      </c>
      <c r="K163" t="s">
        <v>28</v>
      </c>
      <c r="L163" t="s">
        <v>29</v>
      </c>
      <c r="M163">
        <v>2021</v>
      </c>
      <c r="N163" t="s">
        <v>165</v>
      </c>
      <c r="O163" t="s">
        <v>53</v>
      </c>
      <c r="P163" t="s">
        <v>46</v>
      </c>
    </row>
    <row r="164" spans="1:16" x14ac:dyDescent="0.3">
      <c r="A164" t="s">
        <v>33</v>
      </c>
      <c r="B164" t="s">
        <v>252</v>
      </c>
      <c r="C164" t="s">
        <v>51</v>
      </c>
      <c r="D164" t="s">
        <v>223</v>
      </c>
      <c r="E164" s="2">
        <v>2536</v>
      </c>
      <c r="F164" s="2">
        <v>300</v>
      </c>
      <c r="G164">
        <v>106512</v>
      </c>
      <c r="H164" s="2">
        <v>654288</v>
      </c>
      <c r="I164" s="2">
        <v>20288</v>
      </c>
      <c r="J164" s="3">
        <v>44807</v>
      </c>
      <c r="K164" t="s">
        <v>20</v>
      </c>
      <c r="L164" t="s">
        <v>21</v>
      </c>
      <c r="M164">
        <v>2021</v>
      </c>
      <c r="N164" t="s">
        <v>253</v>
      </c>
      <c r="O164" t="s">
        <v>53</v>
      </c>
      <c r="P164" t="s">
        <v>49</v>
      </c>
    </row>
    <row r="165" spans="1:16" x14ac:dyDescent="0.3">
      <c r="A165" t="s">
        <v>33</v>
      </c>
      <c r="B165" t="s">
        <v>183</v>
      </c>
      <c r="C165" t="s">
        <v>56</v>
      </c>
      <c r="D165" t="s">
        <v>223</v>
      </c>
      <c r="E165" s="2">
        <v>269</v>
      </c>
      <c r="F165" s="2">
        <v>300</v>
      </c>
      <c r="G165">
        <v>11298</v>
      </c>
      <c r="H165" s="2">
        <v>69402</v>
      </c>
      <c r="I165" s="2">
        <v>2152</v>
      </c>
      <c r="J165" s="3">
        <v>44853</v>
      </c>
      <c r="K165" t="s">
        <v>85</v>
      </c>
      <c r="L165" t="s">
        <v>72</v>
      </c>
      <c r="M165">
        <v>2021</v>
      </c>
      <c r="N165" t="s">
        <v>184</v>
      </c>
      <c r="O165" t="s">
        <v>59</v>
      </c>
      <c r="P165" t="s">
        <v>54</v>
      </c>
    </row>
    <row r="166" spans="1:16" x14ac:dyDescent="0.3">
      <c r="A166" t="s">
        <v>37</v>
      </c>
      <c r="B166" t="s">
        <v>55</v>
      </c>
      <c r="C166" t="s">
        <v>56</v>
      </c>
      <c r="D166" t="s">
        <v>223</v>
      </c>
      <c r="E166" s="2">
        <v>1281</v>
      </c>
      <c r="F166" s="2">
        <v>350</v>
      </c>
      <c r="G166">
        <v>62769</v>
      </c>
      <c r="H166" s="2">
        <v>385581</v>
      </c>
      <c r="I166" s="2">
        <v>52521</v>
      </c>
      <c r="J166" s="3">
        <v>44580</v>
      </c>
      <c r="K166" t="s">
        <v>28</v>
      </c>
      <c r="L166" t="s">
        <v>29</v>
      </c>
      <c r="M166">
        <v>2021</v>
      </c>
      <c r="N166" t="s">
        <v>58</v>
      </c>
      <c r="O166" t="s">
        <v>59</v>
      </c>
      <c r="P166" t="s">
        <v>60</v>
      </c>
    </row>
    <row r="167" spans="1:16" x14ac:dyDescent="0.3">
      <c r="A167" t="s">
        <v>25</v>
      </c>
      <c r="B167" t="s">
        <v>254</v>
      </c>
      <c r="C167" t="s">
        <v>90</v>
      </c>
      <c r="D167" t="s">
        <v>223</v>
      </c>
      <c r="E167" s="2">
        <v>1743</v>
      </c>
      <c r="F167" s="2">
        <v>15</v>
      </c>
      <c r="G167">
        <v>3660.3</v>
      </c>
      <c r="H167" s="2">
        <v>22484.7</v>
      </c>
      <c r="I167" s="2">
        <v>5054.7000000000007</v>
      </c>
      <c r="J167" s="3">
        <v>44476</v>
      </c>
      <c r="K167" t="s">
        <v>85</v>
      </c>
      <c r="L167" t="s">
        <v>72</v>
      </c>
      <c r="M167">
        <v>2021</v>
      </c>
      <c r="N167" t="s">
        <v>255</v>
      </c>
      <c r="O167" t="s">
        <v>92</v>
      </c>
      <c r="P167" t="s">
        <v>54</v>
      </c>
    </row>
    <row r="168" spans="1:16" x14ac:dyDescent="0.3">
      <c r="A168" t="s">
        <v>37</v>
      </c>
      <c r="B168" t="s">
        <v>239</v>
      </c>
      <c r="C168" t="s">
        <v>90</v>
      </c>
      <c r="D168" t="s">
        <v>223</v>
      </c>
      <c r="E168" s="2">
        <v>1727</v>
      </c>
      <c r="F168" s="2">
        <v>7</v>
      </c>
      <c r="G168">
        <v>1692.46</v>
      </c>
      <c r="H168" s="2">
        <v>10396.540000000001</v>
      </c>
      <c r="I168" s="2">
        <v>1761.5400000000009</v>
      </c>
      <c r="J168" s="3">
        <v>44895</v>
      </c>
      <c r="K168" t="s">
        <v>71</v>
      </c>
      <c r="L168" t="s">
        <v>72</v>
      </c>
      <c r="M168">
        <v>2021</v>
      </c>
      <c r="N168" t="s">
        <v>173</v>
      </c>
      <c r="O168" t="s">
        <v>92</v>
      </c>
      <c r="P168" t="s">
        <v>46</v>
      </c>
    </row>
    <row r="169" spans="1:16" x14ac:dyDescent="0.3">
      <c r="A169" t="s">
        <v>25</v>
      </c>
      <c r="B169" t="s">
        <v>256</v>
      </c>
      <c r="C169" t="s">
        <v>90</v>
      </c>
      <c r="D169" t="s">
        <v>223</v>
      </c>
      <c r="E169" s="2">
        <v>1870</v>
      </c>
      <c r="F169" s="2">
        <v>15</v>
      </c>
      <c r="G169">
        <v>3927</v>
      </c>
      <c r="H169" s="2">
        <v>24123</v>
      </c>
      <c r="I169" s="2">
        <v>5423</v>
      </c>
      <c r="J169" s="3">
        <v>44521</v>
      </c>
      <c r="K169" t="s">
        <v>71</v>
      </c>
      <c r="L169" t="s">
        <v>72</v>
      </c>
      <c r="M169">
        <v>2021</v>
      </c>
      <c r="N169" t="s">
        <v>257</v>
      </c>
      <c r="O169" t="s">
        <v>92</v>
      </c>
      <c r="P169" t="s">
        <v>60</v>
      </c>
    </row>
    <row r="170" spans="1:16" x14ac:dyDescent="0.3">
      <c r="A170" t="s">
        <v>37</v>
      </c>
      <c r="B170" t="s">
        <v>110</v>
      </c>
      <c r="C170" t="s">
        <v>27</v>
      </c>
      <c r="D170" t="s">
        <v>223</v>
      </c>
      <c r="E170" s="2">
        <v>267</v>
      </c>
      <c r="F170" s="2">
        <v>20</v>
      </c>
      <c r="G170">
        <v>801</v>
      </c>
      <c r="H170" s="2">
        <v>4539</v>
      </c>
      <c r="I170" s="2">
        <v>1869</v>
      </c>
      <c r="J170" s="3">
        <v>44276</v>
      </c>
      <c r="K170" t="s">
        <v>82</v>
      </c>
      <c r="L170" t="s">
        <v>29</v>
      </c>
      <c r="M170">
        <v>2021</v>
      </c>
      <c r="N170" t="s">
        <v>111</v>
      </c>
      <c r="O170" t="s">
        <v>31</v>
      </c>
      <c r="P170" t="s">
        <v>36</v>
      </c>
    </row>
    <row r="171" spans="1:16" x14ac:dyDescent="0.3">
      <c r="A171" t="s">
        <v>37</v>
      </c>
      <c r="B171" t="s">
        <v>110</v>
      </c>
      <c r="C171" t="s">
        <v>27</v>
      </c>
      <c r="D171" t="s">
        <v>223</v>
      </c>
      <c r="E171" s="2">
        <v>2007</v>
      </c>
      <c r="F171" s="2">
        <v>350</v>
      </c>
      <c r="G171">
        <v>105367.5</v>
      </c>
      <c r="H171" s="2">
        <v>597082.5</v>
      </c>
      <c r="I171" s="2">
        <v>75262.5</v>
      </c>
      <c r="J171" s="3">
        <v>44806</v>
      </c>
      <c r="K171" t="s">
        <v>20</v>
      </c>
      <c r="L171" t="s">
        <v>21</v>
      </c>
      <c r="M171">
        <v>2021</v>
      </c>
      <c r="N171" t="s">
        <v>111</v>
      </c>
      <c r="O171" t="s">
        <v>31</v>
      </c>
      <c r="P171" t="s">
        <v>36</v>
      </c>
    </row>
    <row r="172" spans="1:16" x14ac:dyDescent="0.3">
      <c r="A172" t="s">
        <v>37</v>
      </c>
      <c r="B172" t="s">
        <v>136</v>
      </c>
      <c r="C172" t="s">
        <v>27</v>
      </c>
      <c r="D172" t="s">
        <v>223</v>
      </c>
      <c r="E172" s="2">
        <v>2151</v>
      </c>
      <c r="F172" s="2">
        <v>350</v>
      </c>
      <c r="G172">
        <v>112927.5</v>
      </c>
      <c r="H172" s="2">
        <v>639922.5</v>
      </c>
      <c r="I172" s="2">
        <v>80662.5</v>
      </c>
      <c r="J172" s="3">
        <v>44228</v>
      </c>
      <c r="K172" t="s">
        <v>57</v>
      </c>
      <c r="L172" t="s">
        <v>29</v>
      </c>
      <c r="M172">
        <v>2021</v>
      </c>
      <c r="N172" t="s">
        <v>137</v>
      </c>
      <c r="O172" t="s">
        <v>31</v>
      </c>
      <c r="P172" t="s">
        <v>60</v>
      </c>
    </row>
    <row r="173" spans="1:16" x14ac:dyDescent="0.3">
      <c r="A173" t="s">
        <v>33</v>
      </c>
      <c r="B173" t="s">
        <v>227</v>
      </c>
      <c r="C173" t="s">
        <v>51</v>
      </c>
      <c r="D173" t="s">
        <v>223</v>
      </c>
      <c r="E173" s="2">
        <v>2574</v>
      </c>
      <c r="F173" s="2">
        <v>300</v>
      </c>
      <c r="G173">
        <v>115830</v>
      </c>
      <c r="H173" s="2">
        <v>656370</v>
      </c>
      <c r="I173" s="2">
        <v>12870</v>
      </c>
      <c r="J173" s="3">
        <v>44725</v>
      </c>
      <c r="K173" t="s">
        <v>146</v>
      </c>
      <c r="L173" t="s">
        <v>68</v>
      </c>
      <c r="M173">
        <v>2021</v>
      </c>
      <c r="N173" t="s">
        <v>159</v>
      </c>
      <c r="O173" t="s">
        <v>53</v>
      </c>
      <c r="P173" t="s">
        <v>49</v>
      </c>
    </row>
    <row r="174" spans="1:16" x14ac:dyDescent="0.3">
      <c r="A174" t="s">
        <v>16</v>
      </c>
      <c r="B174" t="s">
        <v>81</v>
      </c>
      <c r="C174" t="s">
        <v>51</v>
      </c>
      <c r="D174" t="s">
        <v>223</v>
      </c>
      <c r="E174" s="2">
        <v>2438</v>
      </c>
      <c r="F174" s="2">
        <v>125</v>
      </c>
      <c r="G174">
        <v>45712.5</v>
      </c>
      <c r="H174" s="2">
        <v>259037.5</v>
      </c>
      <c r="I174" s="2">
        <v>-33522.5</v>
      </c>
      <c r="J174" s="3">
        <v>44257</v>
      </c>
      <c r="K174" t="s">
        <v>82</v>
      </c>
      <c r="L174" t="s">
        <v>29</v>
      </c>
      <c r="M174">
        <v>2021</v>
      </c>
      <c r="N174" t="s">
        <v>83</v>
      </c>
      <c r="O174" t="s">
        <v>53</v>
      </c>
      <c r="P174" t="s">
        <v>54</v>
      </c>
    </row>
    <row r="175" spans="1:16" x14ac:dyDescent="0.3">
      <c r="A175" t="s">
        <v>37</v>
      </c>
      <c r="B175" t="s">
        <v>122</v>
      </c>
      <c r="C175" t="s">
        <v>56</v>
      </c>
      <c r="D175" t="s">
        <v>223</v>
      </c>
      <c r="E175" s="2">
        <v>267</v>
      </c>
      <c r="F175" s="2">
        <v>20</v>
      </c>
      <c r="G175">
        <v>801</v>
      </c>
      <c r="H175" s="2">
        <v>4539</v>
      </c>
      <c r="I175" s="2">
        <v>1869</v>
      </c>
      <c r="J175" s="3">
        <v>44496</v>
      </c>
      <c r="K175" t="s">
        <v>85</v>
      </c>
      <c r="L175" t="s">
        <v>72</v>
      </c>
      <c r="M175">
        <v>2021</v>
      </c>
      <c r="N175" t="s">
        <v>123</v>
      </c>
      <c r="O175" t="s">
        <v>59</v>
      </c>
      <c r="P175" t="s">
        <v>24</v>
      </c>
    </row>
    <row r="176" spans="1:16" x14ac:dyDescent="0.3">
      <c r="A176" t="s">
        <v>16</v>
      </c>
      <c r="B176" t="s">
        <v>258</v>
      </c>
      <c r="C176" t="s">
        <v>56</v>
      </c>
      <c r="D176" t="s">
        <v>223</v>
      </c>
      <c r="E176" s="2">
        <v>2954</v>
      </c>
      <c r="F176" s="2">
        <v>125</v>
      </c>
      <c r="G176">
        <v>55387.5</v>
      </c>
      <c r="H176" s="2">
        <v>313862.5</v>
      </c>
      <c r="I176" s="2">
        <v>-40617.5</v>
      </c>
      <c r="J176" s="3">
        <v>44249</v>
      </c>
      <c r="K176" t="s">
        <v>57</v>
      </c>
      <c r="L176" t="s">
        <v>29</v>
      </c>
      <c r="M176">
        <v>2021</v>
      </c>
      <c r="N176" t="s">
        <v>135</v>
      </c>
      <c r="O176" t="s">
        <v>59</v>
      </c>
      <c r="P176" t="s">
        <v>24</v>
      </c>
    </row>
    <row r="177" spans="1:16" x14ac:dyDescent="0.3">
      <c r="A177" t="s">
        <v>37</v>
      </c>
      <c r="B177" t="s">
        <v>140</v>
      </c>
      <c r="C177" t="s">
        <v>62</v>
      </c>
      <c r="D177" t="s">
        <v>19</v>
      </c>
      <c r="E177" s="2">
        <v>1618.5</v>
      </c>
      <c r="F177" s="2">
        <v>20</v>
      </c>
      <c r="G177">
        <v>0</v>
      </c>
      <c r="H177" s="2">
        <v>32370</v>
      </c>
      <c r="I177" s="2">
        <v>16185</v>
      </c>
      <c r="J177" s="3">
        <v>44257</v>
      </c>
      <c r="K177" t="s">
        <v>82</v>
      </c>
      <c r="L177" t="s">
        <v>29</v>
      </c>
      <c r="M177">
        <v>2022</v>
      </c>
      <c r="N177" t="s">
        <v>141</v>
      </c>
      <c r="O177" t="s">
        <v>65</v>
      </c>
      <c r="P177" t="s">
        <v>32</v>
      </c>
    </row>
    <row r="178" spans="1:16" x14ac:dyDescent="0.3">
      <c r="A178" t="s">
        <v>37</v>
      </c>
      <c r="B178" t="s">
        <v>154</v>
      </c>
      <c r="C178" t="s">
        <v>62</v>
      </c>
      <c r="D178" t="s">
        <v>19</v>
      </c>
      <c r="E178" s="2">
        <v>1321</v>
      </c>
      <c r="F178" s="2">
        <v>20</v>
      </c>
      <c r="G178">
        <v>0</v>
      </c>
      <c r="H178" s="2">
        <v>26420</v>
      </c>
      <c r="I178" s="2">
        <v>13210</v>
      </c>
      <c r="J178" s="3">
        <v>44263</v>
      </c>
      <c r="K178" t="s">
        <v>82</v>
      </c>
      <c r="L178" t="s">
        <v>29</v>
      </c>
      <c r="M178">
        <v>2022</v>
      </c>
      <c r="N178" t="s">
        <v>155</v>
      </c>
      <c r="O178" t="s">
        <v>65</v>
      </c>
      <c r="P178" t="s">
        <v>60</v>
      </c>
    </row>
    <row r="179" spans="1:16" x14ac:dyDescent="0.3">
      <c r="A179" t="s">
        <v>25</v>
      </c>
      <c r="B179" t="s">
        <v>259</v>
      </c>
      <c r="C179" t="s">
        <v>62</v>
      </c>
      <c r="D179" t="s">
        <v>19</v>
      </c>
      <c r="E179" s="2">
        <v>2178</v>
      </c>
      <c r="F179" s="2">
        <v>15</v>
      </c>
      <c r="G179">
        <v>0</v>
      </c>
      <c r="H179" s="2">
        <v>32670</v>
      </c>
      <c r="I179" s="2">
        <v>10890</v>
      </c>
      <c r="J179" s="3">
        <v>44873</v>
      </c>
      <c r="K179" t="s">
        <v>71</v>
      </c>
      <c r="L179" t="s">
        <v>72</v>
      </c>
      <c r="M179">
        <v>2022</v>
      </c>
      <c r="N179" t="s">
        <v>175</v>
      </c>
      <c r="O179" t="s">
        <v>65</v>
      </c>
      <c r="P179" t="s">
        <v>32</v>
      </c>
    </row>
    <row r="180" spans="1:16" x14ac:dyDescent="0.3">
      <c r="A180" t="s">
        <v>25</v>
      </c>
      <c r="B180" t="s">
        <v>260</v>
      </c>
      <c r="C180" t="s">
        <v>62</v>
      </c>
      <c r="D180" t="s">
        <v>19</v>
      </c>
      <c r="E180" s="2">
        <v>888</v>
      </c>
      <c r="F180" s="2">
        <v>15</v>
      </c>
      <c r="G180">
        <v>0</v>
      </c>
      <c r="H180" s="2">
        <v>13320</v>
      </c>
      <c r="I180" s="2">
        <v>4440</v>
      </c>
      <c r="J180" s="3">
        <v>44334</v>
      </c>
      <c r="K180" t="s">
        <v>104</v>
      </c>
      <c r="L180" t="s">
        <v>68</v>
      </c>
      <c r="M180">
        <v>2022</v>
      </c>
      <c r="N180" t="s">
        <v>261</v>
      </c>
      <c r="O180" t="s">
        <v>65</v>
      </c>
      <c r="P180" t="s">
        <v>36</v>
      </c>
    </row>
    <row r="181" spans="1:16" x14ac:dyDescent="0.3">
      <c r="A181" t="s">
        <v>25</v>
      </c>
      <c r="B181" t="s">
        <v>262</v>
      </c>
      <c r="C181" t="s">
        <v>62</v>
      </c>
      <c r="D181" t="s">
        <v>19</v>
      </c>
      <c r="E181" s="2">
        <v>2470</v>
      </c>
      <c r="F181" s="2">
        <v>15</v>
      </c>
      <c r="G181">
        <v>0</v>
      </c>
      <c r="H181" s="2">
        <v>37050</v>
      </c>
      <c r="I181" s="2">
        <v>12350</v>
      </c>
      <c r="J181" s="3">
        <v>44820</v>
      </c>
      <c r="K181" t="s">
        <v>20</v>
      </c>
      <c r="L181" t="s">
        <v>21</v>
      </c>
      <c r="M181">
        <v>2022</v>
      </c>
      <c r="N181" t="s">
        <v>224</v>
      </c>
      <c r="O181" t="s">
        <v>65</v>
      </c>
      <c r="P181" t="s">
        <v>41</v>
      </c>
    </row>
    <row r="182" spans="1:16" x14ac:dyDescent="0.3">
      <c r="A182" t="s">
        <v>37</v>
      </c>
      <c r="B182" t="s">
        <v>154</v>
      </c>
      <c r="C182" t="s">
        <v>62</v>
      </c>
      <c r="D182" t="s">
        <v>19</v>
      </c>
      <c r="E182" s="2">
        <v>1513</v>
      </c>
      <c r="F182" s="2">
        <v>350</v>
      </c>
      <c r="G182">
        <v>0</v>
      </c>
      <c r="H182" s="2">
        <v>529550</v>
      </c>
      <c r="I182" s="2">
        <v>136170</v>
      </c>
      <c r="J182" s="3">
        <v>44572</v>
      </c>
      <c r="K182" t="s">
        <v>28</v>
      </c>
      <c r="L182" t="s">
        <v>29</v>
      </c>
      <c r="M182">
        <v>2022</v>
      </c>
      <c r="N182" t="s">
        <v>155</v>
      </c>
      <c r="O182" t="s">
        <v>65</v>
      </c>
      <c r="P182" t="s">
        <v>60</v>
      </c>
    </row>
    <row r="183" spans="1:16" x14ac:dyDescent="0.3">
      <c r="A183" t="s">
        <v>25</v>
      </c>
      <c r="B183" t="s">
        <v>263</v>
      </c>
      <c r="C183" t="s">
        <v>18</v>
      </c>
      <c r="D183" t="s">
        <v>19</v>
      </c>
      <c r="E183" s="2">
        <v>921</v>
      </c>
      <c r="F183" s="2">
        <v>15</v>
      </c>
      <c r="G183">
        <v>0</v>
      </c>
      <c r="H183" s="2">
        <v>13815</v>
      </c>
      <c r="I183" s="2">
        <v>4605</v>
      </c>
      <c r="J183" s="3">
        <v>44857</v>
      </c>
      <c r="K183" t="s">
        <v>85</v>
      </c>
      <c r="L183" t="s">
        <v>72</v>
      </c>
      <c r="M183">
        <v>2022</v>
      </c>
      <c r="N183" t="s">
        <v>226</v>
      </c>
      <c r="O183" t="s">
        <v>23</v>
      </c>
      <c r="P183" t="s">
        <v>46</v>
      </c>
    </row>
    <row r="184" spans="1:16" x14ac:dyDescent="0.3">
      <c r="A184" t="s">
        <v>42</v>
      </c>
      <c r="B184" t="s">
        <v>264</v>
      </c>
      <c r="C184" t="s">
        <v>18</v>
      </c>
      <c r="D184" t="s">
        <v>19</v>
      </c>
      <c r="E184" s="2">
        <v>2518</v>
      </c>
      <c r="F184" s="2">
        <v>12</v>
      </c>
      <c r="G184">
        <v>0</v>
      </c>
      <c r="H184" s="2">
        <v>30216</v>
      </c>
      <c r="I184" s="2">
        <v>22662</v>
      </c>
      <c r="J184" s="3">
        <v>44493</v>
      </c>
      <c r="K184" t="s">
        <v>85</v>
      </c>
      <c r="L184" t="s">
        <v>72</v>
      </c>
      <c r="M184">
        <v>2022</v>
      </c>
      <c r="N184" t="s">
        <v>159</v>
      </c>
      <c r="O184" t="s">
        <v>23</v>
      </c>
      <c r="P184" t="s">
        <v>49</v>
      </c>
    </row>
    <row r="185" spans="1:16" x14ac:dyDescent="0.3">
      <c r="A185" t="s">
        <v>37</v>
      </c>
      <c r="B185" t="s">
        <v>176</v>
      </c>
      <c r="C185" t="s">
        <v>18</v>
      </c>
      <c r="D185" t="s">
        <v>19</v>
      </c>
      <c r="E185" s="2">
        <v>1899</v>
      </c>
      <c r="F185" s="2">
        <v>20</v>
      </c>
      <c r="G185">
        <v>0</v>
      </c>
      <c r="H185" s="2">
        <v>37980</v>
      </c>
      <c r="I185" s="2">
        <v>18990</v>
      </c>
      <c r="J185" s="3">
        <v>44563</v>
      </c>
      <c r="K185" t="s">
        <v>28</v>
      </c>
      <c r="L185" t="s">
        <v>29</v>
      </c>
      <c r="M185">
        <v>2022</v>
      </c>
      <c r="N185" t="s">
        <v>177</v>
      </c>
      <c r="O185" t="s">
        <v>23</v>
      </c>
      <c r="P185" t="s">
        <v>36</v>
      </c>
    </row>
    <row r="186" spans="1:16" x14ac:dyDescent="0.3">
      <c r="A186" t="s">
        <v>42</v>
      </c>
      <c r="B186" t="s">
        <v>265</v>
      </c>
      <c r="C186" t="s">
        <v>18</v>
      </c>
      <c r="D186" t="s">
        <v>19</v>
      </c>
      <c r="E186" s="2">
        <v>1545</v>
      </c>
      <c r="F186" s="2">
        <v>12</v>
      </c>
      <c r="G186">
        <v>0</v>
      </c>
      <c r="H186" s="2">
        <v>18540</v>
      </c>
      <c r="I186" s="2">
        <v>13905</v>
      </c>
      <c r="J186" s="3">
        <v>44269</v>
      </c>
      <c r="K186" t="s">
        <v>82</v>
      </c>
      <c r="L186" t="s">
        <v>29</v>
      </c>
      <c r="M186">
        <v>2022</v>
      </c>
      <c r="N186" t="s">
        <v>161</v>
      </c>
      <c r="O186" t="s">
        <v>23</v>
      </c>
      <c r="P186" t="s">
        <v>54</v>
      </c>
    </row>
    <row r="187" spans="1:16" x14ac:dyDescent="0.3">
      <c r="A187" t="s">
        <v>25</v>
      </c>
      <c r="B187" t="s">
        <v>266</v>
      </c>
      <c r="C187" t="s">
        <v>18</v>
      </c>
      <c r="D187" t="s">
        <v>19</v>
      </c>
      <c r="E187" s="2">
        <v>2470</v>
      </c>
      <c r="F187" s="2">
        <v>15</v>
      </c>
      <c r="G187">
        <v>0</v>
      </c>
      <c r="H187" s="2">
        <v>37050</v>
      </c>
      <c r="I187" s="2">
        <v>12350</v>
      </c>
      <c r="J187" s="3">
        <v>44406</v>
      </c>
      <c r="K187" t="s">
        <v>44</v>
      </c>
      <c r="L187" t="s">
        <v>21</v>
      </c>
      <c r="M187">
        <v>2022</v>
      </c>
      <c r="N187" t="s">
        <v>230</v>
      </c>
      <c r="O187" t="s">
        <v>23</v>
      </c>
      <c r="P187" t="s">
        <v>60</v>
      </c>
    </row>
    <row r="188" spans="1:16" x14ac:dyDescent="0.3">
      <c r="A188" t="s">
        <v>16</v>
      </c>
      <c r="B188" t="s">
        <v>17</v>
      </c>
      <c r="C188" t="s">
        <v>18</v>
      </c>
      <c r="D188" t="s">
        <v>19</v>
      </c>
      <c r="E188" s="2">
        <v>2665.5</v>
      </c>
      <c r="F188" s="2">
        <v>125</v>
      </c>
      <c r="G188">
        <v>0</v>
      </c>
      <c r="H188" s="2">
        <v>333187.5</v>
      </c>
      <c r="I188" s="2">
        <v>13327.5</v>
      </c>
      <c r="J188" s="3">
        <v>44617</v>
      </c>
      <c r="K188" t="s">
        <v>57</v>
      </c>
      <c r="L188" t="s">
        <v>29</v>
      </c>
      <c r="M188">
        <v>2022</v>
      </c>
      <c r="N188" t="s">
        <v>22</v>
      </c>
      <c r="O188" t="s">
        <v>23</v>
      </c>
      <c r="P188" t="s">
        <v>24</v>
      </c>
    </row>
    <row r="189" spans="1:16" x14ac:dyDescent="0.3">
      <c r="A189" t="s">
        <v>33</v>
      </c>
      <c r="B189" t="s">
        <v>158</v>
      </c>
      <c r="C189" t="s">
        <v>18</v>
      </c>
      <c r="D189" t="s">
        <v>19</v>
      </c>
      <c r="E189" s="2">
        <v>958</v>
      </c>
      <c r="F189" s="2">
        <v>300</v>
      </c>
      <c r="G189">
        <v>0</v>
      </c>
      <c r="H189" s="2">
        <v>287400</v>
      </c>
      <c r="I189" s="2">
        <v>47900</v>
      </c>
      <c r="J189" s="3">
        <v>44605</v>
      </c>
      <c r="K189" t="s">
        <v>57</v>
      </c>
      <c r="L189" t="s">
        <v>29</v>
      </c>
      <c r="M189">
        <v>2022</v>
      </c>
      <c r="N189" t="s">
        <v>159</v>
      </c>
      <c r="O189" t="s">
        <v>23</v>
      </c>
      <c r="P189" t="s">
        <v>32</v>
      </c>
    </row>
    <row r="190" spans="1:16" x14ac:dyDescent="0.3">
      <c r="A190" t="s">
        <v>37</v>
      </c>
      <c r="B190" t="s">
        <v>130</v>
      </c>
      <c r="C190" t="s">
        <v>18</v>
      </c>
      <c r="D190" t="s">
        <v>19</v>
      </c>
      <c r="E190" s="2">
        <v>2146</v>
      </c>
      <c r="F190" s="2">
        <v>7</v>
      </c>
      <c r="G190">
        <v>0</v>
      </c>
      <c r="H190" s="2">
        <v>15022</v>
      </c>
      <c r="I190" s="2">
        <v>4292</v>
      </c>
      <c r="J190" s="3">
        <v>44586</v>
      </c>
      <c r="K190" t="s">
        <v>28</v>
      </c>
      <c r="L190" t="s">
        <v>29</v>
      </c>
      <c r="M190">
        <v>2022</v>
      </c>
      <c r="N190" t="s">
        <v>131</v>
      </c>
      <c r="O190" t="s">
        <v>23</v>
      </c>
      <c r="P190" t="s">
        <v>46</v>
      </c>
    </row>
    <row r="191" spans="1:16" x14ac:dyDescent="0.3">
      <c r="A191" t="s">
        <v>25</v>
      </c>
      <c r="B191" t="s">
        <v>267</v>
      </c>
      <c r="C191" t="s">
        <v>18</v>
      </c>
      <c r="D191" t="s">
        <v>19</v>
      </c>
      <c r="E191" s="2">
        <v>615</v>
      </c>
      <c r="F191" s="2">
        <v>15</v>
      </c>
      <c r="G191">
        <v>0</v>
      </c>
      <c r="H191" s="2">
        <v>9225</v>
      </c>
      <c r="I191" s="2">
        <v>3075</v>
      </c>
      <c r="J191" s="3">
        <v>44264</v>
      </c>
      <c r="K191" t="s">
        <v>82</v>
      </c>
      <c r="L191" t="s">
        <v>29</v>
      </c>
      <c r="M191">
        <v>2022</v>
      </c>
      <c r="N191" t="s">
        <v>232</v>
      </c>
      <c r="O191" t="s">
        <v>23</v>
      </c>
      <c r="P191" t="s">
        <v>24</v>
      </c>
    </row>
    <row r="192" spans="1:16" x14ac:dyDescent="0.3">
      <c r="A192" t="s">
        <v>37</v>
      </c>
      <c r="B192" t="s">
        <v>38</v>
      </c>
      <c r="C192" t="s">
        <v>27</v>
      </c>
      <c r="D192" t="s">
        <v>19</v>
      </c>
      <c r="E192" s="2">
        <v>292</v>
      </c>
      <c r="F192" s="2">
        <v>20</v>
      </c>
      <c r="G192">
        <v>0</v>
      </c>
      <c r="H192" s="2">
        <v>5840</v>
      </c>
      <c r="I192" s="2">
        <v>2920</v>
      </c>
      <c r="J192" s="3">
        <v>44316</v>
      </c>
      <c r="K192" t="s">
        <v>67</v>
      </c>
      <c r="L192" t="s">
        <v>68</v>
      </c>
      <c r="M192">
        <v>2022</v>
      </c>
      <c r="N192" t="s">
        <v>40</v>
      </c>
      <c r="O192" t="s">
        <v>31</v>
      </c>
      <c r="P192" t="s">
        <v>41</v>
      </c>
    </row>
    <row r="193" spans="1:16" x14ac:dyDescent="0.3">
      <c r="A193" t="s">
        <v>25</v>
      </c>
      <c r="B193" t="s">
        <v>144</v>
      </c>
      <c r="C193" t="s">
        <v>27</v>
      </c>
      <c r="D193" t="s">
        <v>19</v>
      </c>
      <c r="E193" s="2">
        <v>974</v>
      </c>
      <c r="F193" s="2">
        <v>15</v>
      </c>
      <c r="G193">
        <v>0</v>
      </c>
      <c r="H193" s="2">
        <v>14610</v>
      </c>
      <c r="I193" s="2">
        <v>4870</v>
      </c>
      <c r="J193" s="3">
        <v>44655</v>
      </c>
      <c r="K193" t="s">
        <v>67</v>
      </c>
      <c r="L193" t="s">
        <v>68</v>
      </c>
      <c r="M193">
        <v>2022</v>
      </c>
      <c r="N193" t="s">
        <v>145</v>
      </c>
      <c r="O193" t="s">
        <v>31</v>
      </c>
      <c r="P193" t="s">
        <v>41</v>
      </c>
    </row>
    <row r="194" spans="1:16" x14ac:dyDescent="0.3">
      <c r="A194" t="s">
        <v>42</v>
      </c>
      <c r="B194" t="s">
        <v>178</v>
      </c>
      <c r="C194" t="s">
        <v>27</v>
      </c>
      <c r="D194" t="s">
        <v>19</v>
      </c>
      <c r="E194" s="2">
        <v>2518</v>
      </c>
      <c r="F194" s="2">
        <v>12</v>
      </c>
      <c r="G194">
        <v>0</v>
      </c>
      <c r="H194" s="2">
        <v>30216</v>
      </c>
      <c r="I194" s="2">
        <v>22662</v>
      </c>
      <c r="J194" s="3">
        <v>44869</v>
      </c>
      <c r="K194" t="s">
        <v>71</v>
      </c>
      <c r="L194" t="s">
        <v>72</v>
      </c>
      <c r="M194">
        <v>2022</v>
      </c>
      <c r="N194" t="s">
        <v>141</v>
      </c>
      <c r="O194" t="s">
        <v>31</v>
      </c>
      <c r="P194" t="s">
        <v>41</v>
      </c>
    </row>
    <row r="195" spans="1:16" x14ac:dyDescent="0.3">
      <c r="A195" t="s">
        <v>37</v>
      </c>
      <c r="B195" t="s">
        <v>200</v>
      </c>
      <c r="C195" t="s">
        <v>27</v>
      </c>
      <c r="D195" t="s">
        <v>19</v>
      </c>
      <c r="E195" s="2">
        <v>1006</v>
      </c>
      <c r="F195" s="2">
        <v>350</v>
      </c>
      <c r="G195">
        <v>0</v>
      </c>
      <c r="H195" s="2">
        <v>352100</v>
      </c>
      <c r="I195" s="2">
        <v>90540</v>
      </c>
      <c r="J195" s="3">
        <v>44762</v>
      </c>
      <c r="K195" t="s">
        <v>44</v>
      </c>
      <c r="L195" t="s">
        <v>21</v>
      </c>
      <c r="M195">
        <v>2022</v>
      </c>
      <c r="N195" t="s">
        <v>201</v>
      </c>
      <c r="O195" t="s">
        <v>31</v>
      </c>
      <c r="P195" t="s">
        <v>60</v>
      </c>
    </row>
    <row r="196" spans="1:16" x14ac:dyDescent="0.3">
      <c r="A196" t="s">
        <v>42</v>
      </c>
      <c r="B196" t="s">
        <v>79</v>
      </c>
      <c r="C196" t="s">
        <v>27</v>
      </c>
      <c r="D196" t="s">
        <v>19</v>
      </c>
      <c r="E196" s="2">
        <v>367</v>
      </c>
      <c r="F196" s="2">
        <v>12</v>
      </c>
      <c r="G196">
        <v>0</v>
      </c>
      <c r="H196" s="2">
        <v>4404</v>
      </c>
      <c r="I196" s="2">
        <v>3303</v>
      </c>
      <c r="J196" s="3">
        <v>44340</v>
      </c>
      <c r="K196" t="s">
        <v>104</v>
      </c>
      <c r="L196" t="s">
        <v>68</v>
      </c>
      <c r="M196">
        <v>2022</v>
      </c>
      <c r="N196" t="s">
        <v>80</v>
      </c>
      <c r="O196" t="s">
        <v>31</v>
      </c>
      <c r="P196" t="s">
        <v>49</v>
      </c>
    </row>
    <row r="197" spans="1:16" x14ac:dyDescent="0.3">
      <c r="A197" t="s">
        <v>37</v>
      </c>
      <c r="B197" t="s">
        <v>136</v>
      </c>
      <c r="C197" t="s">
        <v>27</v>
      </c>
      <c r="D197" t="s">
        <v>19</v>
      </c>
      <c r="E197" s="2">
        <v>883</v>
      </c>
      <c r="F197" s="2">
        <v>7</v>
      </c>
      <c r="G197">
        <v>0</v>
      </c>
      <c r="H197" s="2">
        <v>6181</v>
      </c>
      <c r="I197" s="2">
        <v>1766</v>
      </c>
      <c r="J197" s="3">
        <v>44437</v>
      </c>
      <c r="K197" t="s">
        <v>39</v>
      </c>
      <c r="L197" t="s">
        <v>21</v>
      </c>
      <c r="M197">
        <v>2022</v>
      </c>
      <c r="N197" t="s">
        <v>137</v>
      </c>
      <c r="O197" t="s">
        <v>31</v>
      </c>
      <c r="P197" t="s">
        <v>60</v>
      </c>
    </row>
    <row r="198" spans="1:16" x14ac:dyDescent="0.3">
      <c r="A198" t="s">
        <v>25</v>
      </c>
      <c r="B198" t="s">
        <v>144</v>
      </c>
      <c r="C198" t="s">
        <v>27</v>
      </c>
      <c r="D198" t="s">
        <v>19</v>
      </c>
      <c r="E198" s="2">
        <v>2472</v>
      </c>
      <c r="F198" s="2">
        <v>15</v>
      </c>
      <c r="G198">
        <v>0</v>
      </c>
      <c r="H198" s="2">
        <v>37080</v>
      </c>
      <c r="I198" s="2">
        <v>12360</v>
      </c>
      <c r="J198" s="3">
        <v>44254</v>
      </c>
      <c r="K198" t="s">
        <v>57</v>
      </c>
      <c r="L198" t="s">
        <v>29</v>
      </c>
      <c r="M198">
        <v>2022</v>
      </c>
      <c r="N198" t="s">
        <v>145</v>
      </c>
      <c r="O198" t="s">
        <v>31</v>
      </c>
      <c r="P198" t="s">
        <v>41</v>
      </c>
    </row>
    <row r="199" spans="1:16" x14ac:dyDescent="0.3">
      <c r="A199" t="s">
        <v>37</v>
      </c>
      <c r="B199" t="s">
        <v>110</v>
      </c>
      <c r="C199" t="s">
        <v>27</v>
      </c>
      <c r="D199" t="s">
        <v>19</v>
      </c>
      <c r="E199" s="2">
        <v>1143</v>
      </c>
      <c r="F199" s="2">
        <v>7</v>
      </c>
      <c r="G199">
        <v>0</v>
      </c>
      <c r="H199" s="2">
        <v>8001</v>
      </c>
      <c r="I199" s="2">
        <v>2286</v>
      </c>
      <c r="J199" s="3">
        <v>44875</v>
      </c>
      <c r="K199" t="s">
        <v>71</v>
      </c>
      <c r="L199" t="s">
        <v>72</v>
      </c>
      <c r="M199">
        <v>2022</v>
      </c>
      <c r="N199" t="s">
        <v>111</v>
      </c>
      <c r="O199" t="s">
        <v>31</v>
      </c>
      <c r="P199" t="s">
        <v>36</v>
      </c>
    </row>
    <row r="200" spans="1:16" x14ac:dyDescent="0.3">
      <c r="A200" t="s">
        <v>37</v>
      </c>
      <c r="B200" t="s">
        <v>38</v>
      </c>
      <c r="C200" t="s">
        <v>27</v>
      </c>
      <c r="D200" t="s">
        <v>19</v>
      </c>
      <c r="E200" s="2">
        <v>1817</v>
      </c>
      <c r="F200" s="2">
        <v>20</v>
      </c>
      <c r="G200">
        <v>0</v>
      </c>
      <c r="H200" s="2">
        <v>36340</v>
      </c>
      <c r="I200" s="2">
        <v>18170</v>
      </c>
      <c r="J200" s="3">
        <v>44579</v>
      </c>
      <c r="K200" t="s">
        <v>28</v>
      </c>
      <c r="L200" t="s">
        <v>29</v>
      </c>
      <c r="M200">
        <v>2022</v>
      </c>
      <c r="N200" t="s">
        <v>40</v>
      </c>
      <c r="O200" t="s">
        <v>31</v>
      </c>
      <c r="P200" t="s">
        <v>41</v>
      </c>
    </row>
    <row r="201" spans="1:16" x14ac:dyDescent="0.3">
      <c r="A201" t="s">
        <v>37</v>
      </c>
      <c r="B201" t="s">
        <v>200</v>
      </c>
      <c r="C201" t="s">
        <v>27</v>
      </c>
      <c r="D201" t="s">
        <v>19</v>
      </c>
      <c r="E201" s="2">
        <v>1513</v>
      </c>
      <c r="F201" s="2">
        <v>350</v>
      </c>
      <c r="G201">
        <v>0</v>
      </c>
      <c r="H201" s="2">
        <v>529550</v>
      </c>
      <c r="I201" s="2">
        <v>136170</v>
      </c>
      <c r="J201" s="3">
        <v>44603</v>
      </c>
      <c r="K201" t="s">
        <v>57</v>
      </c>
      <c r="L201" t="s">
        <v>29</v>
      </c>
      <c r="M201">
        <v>2022</v>
      </c>
      <c r="N201" t="s">
        <v>201</v>
      </c>
      <c r="O201" t="s">
        <v>31</v>
      </c>
      <c r="P201" t="s">
        <v>60</v>
      </c>
    </row>
    <row r="202" spans="1:16" x14ac:dyDescent="0.3">
      <c r="A202" t="s">
        <v>37</v>
      </c>
      <c r="B202" t="s">
        <v>118</v>
      </c>
      <c r="C202" t="s">
        <v>51</v>
      </c>
      <c r="D202" t="s">
        <v>19</v>
      </c>
      <c r="E202" s="2">
        <v>1493</v>
      </c>
      <c r="F202" s="2">
        <v>7</v>
      </c>
      <c r="G202">
        <v>0</v>
      </c>
      <c r="H202" s="2">
        <v>10451</v>
      </c>
      <c r="I202" s="2">
        <v>2986</v>
      </c>
      <c r="J202" s="3">
        <v>44624</v>
      </c>
      <c r="K202" t="s">
        <v>82</v>
      </c>
      <c r="L202" t="s">
        <v>29</v>
      </c>
      <c r="M202">
        <v>2022</v>
      </c>
      <c r="N202" t="s">
        <v>119</v>
      </c>
      <c r="O202" t="s">
        <v>53</v>
      </c>
      <c r="P202" t="s">
        <v>54</v>
      </c>
    </row>
    <row r="203" spans="1:16" x14ac:dyDescent="0.3">
      <c r="A203" t="s">
        <v>16</v>
      </c>
      <c r="B203" t="s">
        <v>164</v>
      </c>
      <c r="C203" t="s">
        <v>51</v>
      </c>
      <c r="D203" t="s">
        <v>19</v>
      </c>
      <c r="E203" s="2">
        <v>1804</v>
      </c>
      <c r="F203" s="2">
        <v>125</v>
      </c>
      <c r="G203">
        <v>0</v>
      </c>
      <c r="H203" s="2">
        <v>225500</v>
      </c>
      <c r="I203" s="2">
        <v>9020</v>
      </c>
      <c r="J203" s="3">
        <v>44740</v>
      </c>
      <c r="K203" t="s">
        <v>146</v>
      </c>
      <c r="L203" t="s">
        <v>68</v>
      </c>
      <c r="M203">
        <v>2022</v>
      </c>
      <c r="N203" t="s">
        <v>165</v>
      </c>
      <c r="O203" t="s">
        <v>53</v>
      </c>
      <c r="P203" t="s">
        <v>46</v>
      </c>
    </row>
    <row r="204" spans="1:16" x14ac:dyDescent="0.3">
      <c r="A204" t="s">
        <v>42</v>
      </c>
      <c r="B204" t="s">
        <v>268</v>
      </c>
      <c r="C204" t="s">
        <v>51</v>
      </c>
      <c r="D204" t="s">
        <v>19</v>
      </c>
      <c r="E204" s="2">
        <v>2161</v>
      </c>
      <c r="F204" s="2">
        <v>12</v>
      </c>
      <c r="G204">
        <v>0</v>
      </c>
      <c r="H204" s="2">
        <v>25932</v>
      </c>
      <c r="I204" s="2">
        <v>19449</v>
      </c>
      <c r="J204" s="3">
        <v>44427</v>
      </c>
      <c r="K204" t="s">
        <v>39</v>
      </c>
      <c r="L204" t="s">
        <v>21</v>
      </c>
      <c r="M204">
        <v>2022</v>
      </c>
      <c r="N204" t="s">
        <v>234</v>
      </c>
      <c r="O204" t="s">
        <v>53</v>
      </c>
      <c r="P204" t="s">
        <v>32</v>
      </c>
    </row>
    <row r="205" spans="1:16" x14ac:dyDescent="0.3">
      <c r="A205" t="s">
        <v>37</v>
      </c>
      <c r="B205" t="s">
        <v>112</v>
      </c>
      <c r="C205" t="s">
        <v>51</v>
      </c>
      <c r="D205" t="s">
        <v>19</v>
      </c>
      <c r="E205" s="2">
        <v>1006</v>
      </c>
      <c r="F205" s="2">
        <v>350</v>
      </c>
      <c r="G205">
        <v>0</v>
      </c>
      <c r="H205" s="2">
        <v>352100</v>
      </c>
      <c r="I205" s="2">
        <v>90540</v>
      </c>
      <c r="J205" s="3">
        <v>44838</v>
      </c>
      <c r="K205" t="s">
        <v>85</v>
      </c>
      <c r="L205" t="s">
        <v>72</v>
      </c>
      <c r="M205">
        <v>2022</v>
      </c>
      <c r="N205" t="s">
        <v>113</v>
      </c>
      <c r="O205" t="s">
        <v>53</v>
      </c>
      <c r="P205" t="s">
        <v>41</v>
      </c>
    </row>
    <row r="206" spans="1:16" x14ac:dyDescent="0.3">
      <c r="A206" t="s">
        <v>42</v>
      </c>
      <c r="B206" t="s">
        <v>268</v>
      </c>
      <c r="C206" t="s">
        <v>51</v>
      </c>
      <c r="D206" t="s">
        <v>19</v>
      </c>
      <c r="E206" s="2">
        <v>1545</v>
      </c>
      <c r="F206" s="2">
        <v>12</v>
      </c>
      <c r="G206">
        <v>0</v>
      </c>
      <c r="H206" s="2">
        <v>18540</v>
      </c>
      <c r="I206" s="2">
        <v>13905</v>
      </c>
      <c r="J206" s="3">
        <v>44777</v>
      </c>
      <c r="K206" t="s">
        <v>39</v>
      </c>
      <c r="L206" t="s">
        <v>21</v>
      </c>
      <c r="M206">
        <v>2022</v>
      </c>
      <c r="N206" t="s">
        <v>234</v>
      </c>
      <c r="O206" t="s">
        <v>53</v>
      </c>
      <c r="P206" t="s">
        <v>32</v>
      </c>
    </row>
    <row r="207" spans="1:16" x14ac:dyDescent="0.3">
      <c r="A207" t="s">
        <v>16</v>
      </c>
      <c r="B207" t="s">
        <v>81</v>
      </c>
      <c r="C207" t="s">
        <v>51</v>
      </c>
      <c r="D207" t="s">
        <v>19</v>
      </c>
      <c r="E207" s="2">
        <v>2821</v>
      </c>
      <c r="F207" s="2">
        <v>125</v>
      </c>
      <c r="G207">
        <v>0</v>
      </c>
      <c r="H207" s="2">
        <v>352625</v>
      </c>
      <c r="I207" s="2">
        <v>14105</v>
      </c>
      <c r="J207" s="3">
        <v>44792</v>
      </c>
      <c r="K207" t="s">
        <v>39</v>
      </c>
      <c r="L207" t="s">
        <v>21</v>
      </c>
      <c r="M207">
        <v>2022</v>
      </c>
      <c r="N207" t="s">
        <v>83</v>
      </c>
      <c r="O207" t="s">
        <v>53</v>
      </c>
      <c r="P207" t="s">
        <v>54</v>
      </c>
    </row>
    <row r="208" spans="1:16" x14ac:dyDescent="0.3">
      <c r="A208" t="s">
        <v>33</v>
      </c>
      <c r="B208" t="s">
        <v>183</v>
      </c>
      <c r="C208" t="s">
        <v>56</v>
      </c>
      <c r="D208" t="s">
        <v>19</v>
      </c>
      <c r="E208" s="2">
        <v>2001</v>
      </c>
      <c r="F208" s="2">
        <v>300</v>
      </c>
      <c r="G208">
        <v>0</v>
      </c>
      <c r="H208" s="2">
        <v>600300</v>
      </c>
      <c r="I208" s="2">
        <v>100050</v>
      </c>
      <c r="J208" s="3">
        <v>44646</v>
      </c>
      <c r="K208" t="s">
        <v>82</v>
      </c>
      <c r="L208" t="s">
        <v>29</v>
      </c>
      <c r="M208">
        <v>2022</v>
      </c>
      <c r="N208" t="s">
        <v>184</v>
      </c>
      <c r="O208" t="s">
        <v>59</v>
      </c>
      <c r="P208" t="s">
        <v>54</v>
      </c>
    </row>
    <row r="209" spans="1:16" x14ac:dyDescent="0.3">
      <c r="A209" t="s">
        <v>42</v>
      </c>
      <c r="B209" t="s">
        <v>191</v>
      </c>
      <c r="C209" t="s">
        <v>56</v>
      </c>
      <c r="D209" t="s">
        <v>19</v>
      </c>
      <c r="E209" s="2">
        <v>2838</v>
      </c>
      <c r="F209" s="2">
        <v>12</v>
      </c>
      <c r="G209">
        <v>0</v>
      </c>
      <c r="H209" s="2">
        <v>34056</v>
      </c>
      <c r="I209" s="2">
        <v>25542</v>
      </c>
      <c r="J209" s="3">
        <v>44745</v>
      </c>
      <c r="K209" t="s">
        <v>44</v>
      </c>
      <c r="L209" t="s">
        <v>21</v>
      </c>
      <c r="M209">
        <v>2022</v>
      </c>
      <c r="N209" t="s">
        <v>192</v>
      </c>
      <c r="O209" t="s">
        <v>59</v>
      </c>
      <c r="P209" t="s">
        <v>36</v>
      </c>
    </row>
    <row r="210" spans="1:16" x14ac:dyDescent="0.3">
      <c r="A210" t="s">
        <v>25</v>
      </c>
      <c r="B210" t="s">
        <v>228</v>
      </c>
      <c r="C210" t="s">
        <v>56</v>
      </c>
      <c r="D210" t="s">
        <v>19</v>
      </c>
      <c r="E210" s="2">
        <v>2178</v>
      </c>
      <c r="F210" s="2">
        <v>15</v>
      </c>
      <c r="G210">
        <v>0</v>
      </c>
      <c r="H210" s="2">
        <v>32670</v>
      </c>
      <c r="I210" s="2">
        <v>10890</v>
      </c>
      <c r="J210" s="3">
        <v>44401</v>
      </c>
      <c r="K210" t="s">
        <v>44</v>
      </c>
      <c r="L210" t="s">
        <v>21</v>
      </c>
      <c r="M210">
        <v>2022</v>
      </c>
      <c r="N210" t="s">
        <v>161</v>
      </c>
      <c r="O210" t="s">
        <v>59</v>
      </c>
      <c r="P210" t="s">
        <v>54</v>
      </c>
    </row>
    <row r="211" spans="1:16" x14ac:dyDescent="0.3">
      <c r="A211" t="s">
        <v>25</v>
      </c>
      <c r="B211" t="s">
        <v>134</v>
      </c>
      <c r="C211" t="s">
        <v>56</v>
      </c>
      <c r="D211" t="s">
        <v>19</v>
      </c>
      <c r="E211" s="2">
        <v>888</v>
      </c>
      <c r="F211" s="2">
        <v>15</v>
      </c>
      <c r="G211">
        <v>0</v>
      </c>
      <c r="H211" s="2">
        <v>13320</v>
      </c>
      <c r="I211" s="2">
        <v>4440</v>
      </c>
      <c r="J211" s="3">
        <v>44230</v>
      </c>
      <c r="K211" t="s">
        <v>57</v>
      </c>
      <c r="L211" t="s">
        <v>29</v>
      </c>
      <c r="M211">
        <v>2022</v>
      </c>
      <c r="N211" t="s">
        <v>135</v>
      </c>
      <c r="O211" t="s">
        <v>59</v>
      </c>
      <c r="P211" t="s">
        <v>54</v>
      </c>
    </row>
    <row r="212" spans="1:16" x14ac:dyDescent="0.3">
      <c r="A212" t="s">
        <v>33</v>
      </c>
      <c r="B212" t="s">
        <v>181</v>
      </c>
      <c r="C212" t="s">
        <v>56</v>
      </c>
      <c r="D212" t="s">
        <v>19</v>
      </c>
      <c r="E212" s="2">
        <v>2151</v>
      </c>
      <c r="F212" s="2">
        <v>300</v>
      </c>
      <c r="G212">
        <v>0</v>
      </c>
      <c r="H212" s="2">
        <v>645300</v>
      </c>
      <c r="I212" s="2">
        <v>107550</v>
      </c>
      <c r="J212" s="3">
        <v>44339</v>
      </c>
      <c r="K212" t="s">
        <v>104</v>
      </c>
      <c r="L212" t="s">
        <v>68</v>
      </c>
      <c r="M212">
        <v>2022</v>
      </c>
      <c r="N212" t="s">
        <v>182</v>
      </c>
      <c r="O212" t="s">
        <v>59</v>
      </c>
      <c r="P212" t="s">
        <v>49</v>
      </c>
    </row>
    <row r="213" spans="1:16" x14ac:dyDescent="0.3">
      <c r="A213" t="s">
        <v>37</v>
      </c>
      <c r="B213" t="s">
        <v>168</v>
      </c>
      <c r="C213" t="s">
        <v>56</v>
      </c>
      <c r="D213" t="s">
        <v>19</v>
      </c>
      <c r="E213" s="2">
        <v>1817</v>
      </c>
      <c r="F213" s="2">
        <v>20</v>
      </c>
      <c r="G213">
        <v>0</v>
      </c>
      <c r="H213" s="2">
        <v>36340</v>
      </c>
      <c r="I213" s="2">
        <v>18170</v>
      </c>
      <c r="J213" s="3">
        <v>44910</v>
      </c>
      <c r="K213" t="s">
        <v>75</v>
      </c>
      <c r="L213" t="s">
        <v>72</v>
      </c>
      <c r="M213">
        <v>2022</v>
      </c>
      <c r="N213" t="s">
        <v>169</v>
      </c>
      <c r="O213" t="s">
        <v>59</v>
      </c>
      <c r="P213" t="s">
        <v>54</v>
      </c>
    </row>
    <row r="214" spans="1:16" x14ac:dyDescent="0.3">
      <c r="A214" t="s">
        <v>37</v>
      </c>
      <c r="B214" t="s">
        <v>187</v>
      </c>
      <c r="C214" t="s">
        <v>90</v>
      </c>
      <c r="D214" t="s">
        <v>19</v>
      </c>
      <c r="E214" s="2">
        <v>2750</v>
      </c>
      <c r="F214" s="2">
        <v>350</v>
      </c>
      <c r="G214">
        <v>0</v>
      </c>
      <c r="H214" s="2">
        <v>962500</v>
      </c>
      <c r="I214" s="2">
        <v>247500</v>
      </c>
      <c r="J214" s="3">
        <v>44431</v>
      </c>
      <c r="K214" t="s">
        <v>39</v>
      </c>
      <c r="L214" t="s">
        <v>21</v>
      </c>
      <c r="M214">
        <v>2022</v>
      </c>
      <c r="N214" t="s">
        <v>188</v>
      </c>
      <c r="O214" t="s">
        <v>92</v>
      </c>
      <c r="P214" t="s">
        <v>24</v>
      </c>
    </row>
    <row r="215" spans="1:16" x14ac:dyDescent="0.3">
      <c r="A215" t="s">
        <v>42</v>
      </c>
      <c r="B215" t="s">
        <v>89</v>
      </c>
      <c r="C215" t="s">
        <v>90</v>
      </c>
      <c r="D215" t="s">
        <v>19</v>
      </c>
      <c r="E215" s="2">
        <v>1953</v>
      </c>
      <c r="F215" s="2">
        <v>12</v>
      </c>
      <c r="G215">
        <v>0</v>
      </c>
      <c r="H215" s="2">
        <v>23436</v>
      </c>
      <c r="I215" s="2">
        <v>17577</v>
      </c>
      <c r="J215" s="3">
        <v>44482</v>
      </c>
      <c r="K215" t="s">
        <v>85</v>
      </c>
      <c r="L215" t="s">
        <v>72</v>
      </c>
      <c r="M215">
        <v>2022</v>
      </c>
      <c r="N215" t="s">
        <v>91</v>
      </c>
      <c r="O215" t="s">
        <v>92</v>
      </c>
      <c r="P215" t="s">
        <v>32</v>
      </c>
    </row>
    <row r="216" spans="1:16" x14ac:dyDescent="0.3">
      <c r="A216" t="s">
        <v>16</v>
      </c>
      <c r="B216" t="s">
        <v>202</v>
      </c>
      <c r="C216" t="s">
        <v>90</v>
      </c>
      <c r="D216" t="s">
        <v>19</v>
      </c>
      <c r="E216" s="2">
        <v>4219.5</v>
      </c>
      <c r="F216" s="2">
        <v>125</v>
      </c>
      <c r="G216">
        <v>0</v>
      </c>
      <c r="H216" s="2">
        <v>527437.5</v>
      </c>
      <c r="I216" s="2">
        <v>21097.5</v>
      </c>
      <c r="J216" s="3">
        <v>44612</v>
      </c>
      <c r="K216" t="s">
        <v>57</v>
      </c>
      <c r="L216" t="s">
        <v>29</v>
      </c>
      <c r="M216">
        <v>2022</v>
      </c>
      <c r="N216" t="s">
        <v>203</v>
      </c>
      <c r="O216" t="s">
        <v>92</v>
      </c>
      <c r="P216" t="s">
        <v>24</v>
      </c>
    </row>
    <row r="217" spans="1:16" x14ac:dyDescent="0.3">
      <c r="A217" t="s">
        <v>37</v>
      </c>
      <c r="B217" t="s">
        <v>187</v>
      </c>
      <c r="C217" t="s">
        <v>90</v>
      </c>
      <c r="D217" t="s">
        <v>19</v>
      </c>
      <c r="E217" s="2">
        <v>1899</v>
      </c>
      <c r="F217" s="2">
        <v>20</v>
      </c>
      <c r="G217">
        <v>0</v>
      </c>
      <c r="H217" s="2">
        <v>37980</v>
      </c>
      <c r="I217" s="2">
        <v>18990</v>
      </c>
      <c r="J217" s="3">
        <v>44745</v>
      </c>
      <c r="K217" t="s">
        <v>44</v>
      </c>
      <c r="L217" t="s">
        <v>21</v>
      </c>
      <c r="M217">
        <v>2022</v>
      </c>
      <c r="N217" t="s">
        <v>188</v>
      </c>
      <c r="O217" t="s">
        <v>92</v>
      </c>
      <c r="P217" t="s">
        <v>24</v>
      </c>
    </row>
    <row r="218" spans="1:16" x14ac:dyDescent="0.3">
      <c r="A218" t="s">
        <v>37</v>
      </c>
      <c r="B218" t="s">
        <v>126</v>
      </c>
      <c r="C218" t="s">
        <v>90</v>
      </c>
      <c r="D218" t="s">
        <v>19</v>
      </c>
      <c r="E218" s="2">
        <v>1686</v>
      </c>
      <c r="F218" s="2">
        <v>7</v>
      </c>
      <c r="G218">
        <v>0</v>
      </c>
      <c r="H218" s="2">
        <v>11802</v>
      </c>
      <c r="I218" s="2">
        <v>3372</v>
      </c>
      <c r="J218" s="3">
        <v>44818</v>
      </c>
      <c r="K218" t="s">
        <v>20</v>
      </c>
      <c r="L218" t="s">
        <v>21</v>
      </c>
      <c r="M218">
        <v>2022</v>
      </c>
      <c r="N218" t="s">
        <v>127</v>
      </c>
      <c r="O218" t="s">
        <v>92</v>
      </c>
      <c r="P218" t="s">
        <v>36</v>
      </c>
    </row>
    <row r="219" spans="1:16" x14ac:dyDescent="0.3">
      <c r="A219" t="s">
        <v>42</v>
      </c>
      <c r="B219" t="s">
        <v>89</v>
      </c>
      <c r="C219" t="s">
        <v>90</v>
      </c>
      <c r="D219" t="s">
        <v>19</v>
      </c>
      <c r="E219" s="2">
        <v>2141</v>
      </c>
      <c r="F219" s="2">
        <v>12</v>
      </c>
      <c r="G219">
        <v>0</v>
      </c>
      <c r="H219" s="2">
        <v>25692</v>
      </c>
      <c r="I219" s="2">
        <v>19269</v>
      </c>
      <c r="J219" s="3">
        <v>44515</v>
      </c>
      <c r="K219" t="s">
        <v>71</v>
      </c>
      <c r="L219" t="s">
        <v>72</v>
      </c>
      <c r="M219">
        <v>2022</v>
      </c>
      <c r="N219" t="s">
        <v>91</v>
      </c>
      <c r="O219" t="s">
        <v>92</v>
      </c>
      <c r="P219" t="s">
        <v>32</v>
      </c>
    </row>
    <row r="220" spans="1:16" x14ac:dyDescent="0.3">
      <c r="A220" t="s">
        <v>37</v>
      </c>
      <c r="B220" t="s">
        <v>185</v>
      </c>
      <c r="C220" t="s">
        <v>90</v>
      </c>
      <c r="D220" t="s">
        <v>19</v>
      </c>
      <c r="E220" s="2">
        <v>1143</v>
      </c>
      <c r="F220" s="2">
        <v>7</v>
      </c>
      <c r="G220">
        <v>0</v>
      </c>
      <c r="H220" s="2">
        <v>8001</v>
      </c>
      <c r="I220" s="2">
        <v>2286</v>
      </c>
      <c r="J220" s="3">
        <v>44674</v>
      </c>
      <c r="K220" t="s">
        <v>67</v>
      </c>
      <c r="L220" t="s">
        <v>68</v>
      </c>
      <c r="M220">
        <v>2022</v>
      </c>
      <c r="N220" t="s">
        <v>186</v>
      </c>
      <c r="O220" t="s">
        <v>92</v>
      </c>
      <c r="P220" t="s">
        <v>60</v>
      </c>
    </row>
    <row r="221" spans="1:16" x14ac:dyDescent="0.3">
      <c r="A221" t="s">
        <v>25</v>
      </c>
      <c r="B221" t="s">
        <v>149</v>
      </c>
      <c r="C221" t="s">
        <v>90</v>
      </c>
      <c r="D221" t="s">
        <v>19</v>
      </c>
      <c r="E221" s="2">
        <v>615</v>
      </c>
      <c r="F221" s="2">
        <v>15</v>
      </c>
      <c r="G221">
        <v>0</v>
      </c>
      <c r="H221" s="2">
        <v>9225</v>
      </c>
      <c r="I221" s="2">
        <v>3075</v>
      </c>
      <c r="J221" s="3">
        <v>44556</v>
      </c>
      <c r="K221" t="s">
        <v>75</v>
      </c>
      <c r="L221" t="s">
        <v>72</v>
      </c>
      <c r="M221">
        <v>2022</v>
      </c>
      <c r="N221" t="s">
        <v>150</v>
      </c>
      <c r="O221" t="s">
        <v>92</v>
      </c>
      <c r="P221" t="s">
        <v>49</v>
      </c>
    </row>
    <row r="222" spans="1:16" x14ac:dyDescent="0.3">
      <c r="A222" t="s">
        <v>37</v>
      </c>
      <c r="B222" t="s">
        <v>162</v>
      </c>
      <c r="C222" t="s">
        <v>27</v>
      </c>
      <c r="D222" t="s">
        <v>63</v>
      </c>
      <c r="E222" s="2">
        <v>3945</v>
      </c>
      <c r="F222" s="2">
        <v>7</v>
      </c>
      <c r="G222">
        <v>276.14999999999998</v>
      </c>
      <c r="H222" s="2">
        <v>27338.850000000002</v>
      </c>
      <c r="I222" s="2">
        <v>7613.8500000000022</v>
      </c>
      <c r="J222" s="3">
        <v>44462</v>
      </c>
      <c r="K222" t="s">
        <v>20</v>
      </c>
      <c r="L222" t="s">
        <v>21</v>
      </c>
      <c r="M222">
        <v>2022</v>
      </c>
      <c r="N222" t="s">
        <v>163</v>
      </c>
      <c r="O222" t="s">
        <v>31</v>
      </c>
      <c r="P222" t="s">
        <v>41</v>
      </c>
    </row>
    <row r="223" spans="1:16" x14ac:dyDescent="0.3">
      <c r="A223" t="s">
        <v>25</v>
      </c>
      <c r="B223" t="s">
        <v>26</v>
      </c>
      <c r="C223" t="s">
        <v>27</v>
      </c>
      <c r="D223" t="s">
        <v>63</v>
      </c>
      <c r="E223" s="2">
        <v>2296</v>
      </c>
      <c r="F223" s="2">
        <v>15</v>
      </c>
      <c r="G223">
        <v>344.4</v>
      </c>
      <c r="H223" s="2">
        <v>34095.599999999999</v>
      </c>
      <c r="I223" s="2">
        <v>11135.599999999999</v>
      </c>
      <c r="J223" s="3">
        <v>44546</v>
      </c>
      <c r="K223" t="s">
        <v>75</v>
      </c>
      <c r="L223" t="s">
        <v>72</v>
      </c>
      <c r="M223">
        <v>2022</v>
      </c>
      <c r="N223" t="s">
        <v>30</v>
      </c>
      <c r="O223" t="s">
        <v>31</v>
      </c>
      <c r="P223" t="s">
        <v>32</v>
      </c>
    </row>
    <row r="224" spans="1:16" x14ac:dyDescent="0.3">
      <c r="A224" t="s">
        <v>37</v>
      </c>
      <c r="B224" t="s">
        <v>162</v>
      </c>
      <c r="C224" t="s">
        <v>27</v>
      </c>
      <c r="D224" t="s">
        <v>63</v>
      </c>
      <c r="E224" s="2">
        <v>1030</v>
      </c>
      <c r="F224" s="2">
        <v>7</v>
      </c>
      <c r="G224">
        <v>72.099999999999994</v>
      </c>
      <c r="H224" s="2">
        <v>7137.9</v>
      </c>
      <c r="I224" s="2">
        <v>1987.8999999999996</v>
      </c>
      <c r="J224" s="3">
        <v>44785</v>
      </c>
      <c r="K224" t="s">
        <v>39</v>
      </c>
      <c r="L224" t="s">
        <v>21</v>
      </c>
      <c r="M224">
        <v>2022</v>
      </c>
      <c r="N224" t="s">
        <v>163</v>
      </c>
      <c r="O224" t="s">
        <v>31</v>
      </c>
      <c r="P224" t="s">
        <v>41</v>
      </c>
    </row>
    <row r="225" spans="1:16" x14ac:dyDescent="0.3">
      <c r="A225" t="s">
        <v>37</v>
      </c>
      <c r="B225" t="s">
        <v>166</v>
      </c>
      <c r="C225" t="s">
        <v>51</v>
      </c>
      <c r="D225" t="s">
        <v>63</v>
      </c>
      <c r="E225" s="2">
        <v>639</v>
      </c>
      <c r="F225" s="2">
        <v>7</v>
      </c>
      <c r="G225">
        <v>44.73</v>
      </c>
      <c r="H225" s="2">
        <v>4428.2700000000004</v>
      </c>
      <c r="I225" s="2">
        <v>1233.2700000000004</v>
      </c>
      <c r="J225" s="3">
        <v>44500</v>
      </c>
      <c r="K225" t="s">
        <v>85</v>
      </c>
      <c r="L225" t="s">
        <v>72</v>
      </c>
      <c r="M225">
        <v>2022</v>
      </c>
      <c r="N225" t="s">
        <v>167</v>
      </c>
      <c r="O225" t="s">
        <v>53</v>
      </c>
      <c r="P225" t="s">
        <v>49</v>
      </c>
    </row>
    <row r="226" spans="1:16" x14ac:dyDescent="0.3">
      <c r="A226" t="s">
        <v>37</v>
      </c>
      <c r="B226" t="s">
        <v>168</v>
      </c>
      <c r="C226" t="s">
        <v>56</v>
      </c>
      <c r="D226" t="s">
        <v>63</v>
      </c>
      <c r="E226" s="2">
        <v>1326</v>
      </c>
      <c r="F226" s="2">
        <v>7</v>
      </c>
      <c r="G226">
        <v>92.82</v>
      </c>
      <c r="H226" s="2">
        <v>9189.18</v>
      </c>
      <c r="I226" s="2">
        <v>2559.1800000000003</v>
      </c>
      <c r="J226" s="3">
        <v>44639</v>
      </c>
      <c r="K226" t="s">
        <v>82</v>
      </c>
      <c r="L226" t="s">
        <v>29</v>
      </c>
      <c r="M226">
        <v>2022</v>
      </c>
      <c r="N226" t="s">
        <v>169</v>
      </c>
      <c r="O226" t="s">
        <v>59</v>
      </c>
      <c r="P226" t="s">
        <v>54</v>
      </c>
    </row>
    <row r="227" spans="1:16" x14ac:dyDescent="0.3">
      <c r="A227" t="s">
        <v>42</v>
      </c>
      <c r="B227" t="s">
        <v>222</v>
      </c>
      <c r="C227" t="s">
        <v>62</v>
      </c>
      <c r="D227" t="s">
        <v>63</v>
      </c>
      <c r="E227" s="2">
        <v>1858</v>
      </c>
      <c r="F227" s="2">
        <v>12</v>
      </c>
      <c r="G227">
        <v>222.96</v>
      </c>
      <c r="H227" s="2">
        <v>22073.040000000001</v>
      </c>
      <c r="I227" s="2">
        <v>16499.04</v>
      </c>
      <c r="J227" s="3">
        <v>44811</v>
      </c>
      <c r="K227" t="s">
        <v>20</v>
      </c>
      <c r="L227" t="s">
        <v>21</v>
      </c>
      <c r="M227">
        <v>2022</v>
      </c>
      <c r="N227" t="s">
        <v>224</v>
      </c>
      <c r="O227" t="s">
        <v>65</v>
      </c>
      <c r="P227" t="s">
        <v>41</v>
      </c>
    </row>
    <row r="228" spans="1:16" x14ac:dyDescent="0.3">
      <c r="A228" t="s">
        <v>37</v>
      </c>
      <c r="B228" t="s">
        <v>189</v>
      </c>
      <c r="C228" t="s">
        <v>62</v>
      </c>
      <c r="D228" t="s">
        <v>63</v>
      </c>
      <c r="E228" s="2">
        <v>1210</v>
      </c>
      <c r="F228" s="2">
        <v>350</v>
      </c>
      <c r="G228">
        <v>4235</v>
      </c>
      <c r="H228" s="2">
        <v>419265</v>
      </c>
      <c r="I228" s="2">
        <v>104665</v>
      </c>
      <c r="J228" s="3">
        <v>44374</v>
      </c>
      <c r="K228" t="s">
        <v>146</v>
      </c>
      <c r="L228" t="s">
        <v>68</v>
      </c>
      <c r="M228">
        <v>2022</v>
      </c>
      <c r="N228" t="s">
        <v>190</v>
      </c>
      <c r="O228" t="s">
        <v>65</v>
      </c>
      <c r="P228" t="s">
        <v>32</v>
      </c>
    </row>
    <row r="229" spans="1:16" x14ac:dyDescent="0.3">
      <c r="A229" t="s">
        <v>37</v>
      </c>
      <c r="B229" t="s">
        <v>172</v>
      </c>
      <c r="C229" t="s">
        <v>62</v>
      </c>
      <c r="D229" t="s">
        <v>63</v>
      </c>
      <c r="E229" s="2">
        <v>2529</v>
      </c>
      <c r="F229" s="2">
        <v>7</v>
      </c>
      <c r="G229">
        <v>177.03</v>
      </c>
      <c r="H229" s="2">
        <v>17525.97</v>
      </c>
      <c r="I229" s="2">
        <v>4880.9699999999993</v>
      </c>
      <c r="J229" s="3">
        <v>44428</v>
      </c>
      <c r="K229" t="s">
        <v>39</v>
      </c>
      <c r="L229" t="s">
        <v>21</v>
      </c>
      <c r="M229">
        <v>2022</v>
      </c>
      <c r="N229" t="s">
        <v>173</v>
      </c>
      <c r="O229" t="s">
        <v>65</v>
      </c>
      <c r="P229" t="s">
        <v>24</v>
      </c>
    </row>
    <row r="230" spans="1:16" x14ac:dyDescent="0.3">
      <c r="A230" t="s">
        <v>42</v>
      </c>
      <c r="B230" t="s">
        <v>128</v>
      </c>
      <c r="C230" t="s">
        <v>62</v>
      </c>
      <c r="D230" t="s">
        <v>63</v>
      </c>
      <c r="E230" s="2">
        <v>1445</v>
      </c>
      <c r="F230" s="2">
        <v>12</v>
      </c>
      <c r="G230">
        <v>173.4</v>
      </c>
      <c r="H230" s="2">
        <v>17166.599999999999</v>
      </c>
      <c r="I230" s="2">
        <v>12831.599999999999</v>
      </c>
      <c r="J230" s="3">
        <v>44418</v>
      </c>
      <c r="K230" t="s">
        <v>39</v>
      </c>
      <c r="L230" t="s">
        <v>21</v>
      </c>
      <c r="M230">
        <v>2022</v>
      </c>
      <c r="N230" t="s">
        <v>129</v>
      </c>
      <c r="O230" t="s">
        <v>65</v>
      </c>
      <c r="P230" t="s">
        <v>41</v>
      </c>
    </row>
    <row r="231" spans="1:16" x14ac:dyDescent="0.3">
      <c r="A231" t="s">
        <v>42</v>
      </c>
      <c r="B231" t="s">
        <v>229</v>
      </c>
      <c r="C231" t="s">
        <v>62</v>
      </c>
      <c r="D231" t="s">
        <v>63</v>
      </c>
      <c r="E231" s="2">
        <v>2671</v>
      </c>
      <c r="F231" s="2">
        <v>12</v>
      </c>
      <c r="G231">
        <v>320.52</v>
      </c>
      <c r="H231" s="2">
        <v>31731.48</v>
      </c>
      <c r="I231" s="2">
        <v>23718.48</v>
      </c>
      <c r="J231" s="3">
        <v>44905</v>
      </c>
      <c r="K231" t="s">
        <v>75</v>
      </c>
      <c r="L231" t="s">
        <v>72</v>
      </c>
      <c r="M231">
        <v>2022</v>
      </c>
      <c r="N231" t="s">
        <v>230</v>
      </c>
      <c r="O231" t="s">
        <v>65</v>
      </c>
      <c r="P231" t="s">
        <v>60</v>
      </c>
    </row>
    <row r="232" spans="1:16" x14ac:dyDescent="0.3">
      <c r="A232" t="s">
        <v>37</v>
      </c>
      <c r="B232" t="s">
        <v>189</v>
      </c>
      <c r="C232" t="s">
        <v>62</v>
      </c>
      <c r="D232" t="s">
        <v>63</v>
      </c>
      <c r="E232" s="2">
        <v>1397</v>
      </c>
      <c r="F232" s="2">
        <v>350</v>
      </c>
      <c r="G232">
        <v>4889.5</v>
      </c>
      <c r="H232" s="2">
        <v>484060.5</v>
      </c>
      <c r="I232" s="2">
        <v>120840.5</v>
      </c>
      <c r="J232" s="3">
        <v>44411</v>
      </c>
      <c r="K232" t="s">
        <v>39</v>
      </c>
      <c r="L232" t="s">
        <v>21</v>
      </c>
      <c r="M232">
        <v>2022</v>
      </c>
      <c r="N232" t="s">
        <v>190</v>
      </c>
      <c r="O232" t="s">
        <v>65</v>
      </c>
      <c r="P232" t="s">
        <v>32</v>
      </c>
    </row>
    <row r="233" spans="1:16" x14ac:dyDescent="0.3">
      <c r="A233" t="s">
        <v>37</v>
      </c>
      <c r="B233" t="s">
        <v>97</v>
      </c>
      <c r="C233" t="s">
        <v>62</v>
      </c>
      <c r="D233" t="s">
        <v>63</v>
      </c>
      <c r="E233" s="2">
        <v>2155</v>
      </c>
      <c r="F233" s="2">
        <v>350</v>
      </c>
      <c r="G233">
        <v>7542.5</v>
      </c>
      <c r="H233" s="2">
        <v>746707.5</v>
      </c>
      <c r="I233" s="2">
        <v>186407.5</v>
      </c>
      <c r="J233" s="3">
        <v>44292</v>
      </c>
      <c r="K233" t="s">
        <v>67</v>
      </c>
      <c r="L233" t="s">
        <v>68</v>
      </c>
      <c r="M233">
        <v>2022</v>
      </c>
      <c r="N233" t="s">
        <v>98</v>
      </c>
      <c r="O233" t="s">
        <v>65</v>
      </c>
      <c r="P233" t="s">
        <v>46</v>
      </c>
    </row>
    <row r="234" spans="1:16" x14ac:dyDescent="0.3">
      <c r="A234" t="s">
        <v>25</v>
      </c>
      <c r="B234" t="s">
        <v>266</v>
      </c>
      <c r="C234" t="s">
        <v>18</v>
      </c>
      <c r="D234" t="s">
        <v>63</v>
      </c>
      <c r="E234" s="2">
        <v>2214</v>
      </c>
      <c r="F234" s="2">
        <v>15</v>
      </c>
      <c r="G234">
        <v>332.1</v>
      </c>
      <c r="H234" s="2">
        <v>32877.9</v>
      </c>
      <c r="I234" s="2">
        <v>10737.900000000001</v>
      </c>
      <c r="J234" s="3">
        <v>44211</v>
      </c>
      <c r="K234" t="s">
        <v>28</v>
      </c>
      <c r="L234" t="s">
        <v>29</v>
      </c>
      <c r="M234">
        <v>2022</v>
      </c>
      <c r="N234" t="s">
        <v>230</v>
      </c>
      <c r="O234" t="s">
        <v>23</v>
      </c>
      <c r="P234" t="s">
        <v>60</v>
      </c>
    </row>
    <row r="235" spans="1:16" x14ac:dyDescent="0.3">
      <c r="A235" t="s">
        <v>33</v>
      </c>
      <c r="B235" t="s">
        <v>74</v>
      </c>
      <c r="C235" t="s">
        <v>18</v>
      </c>
      <c r="D235" t="s">
        <v>63</v>
      </c>
      <c r="E235" s="2">
        <v>2301</v>
      </c>
      <c r="F235" s="2">
        <v>300</v>
      </c>
      <c r="G235">
        <v>6903</v>
      </c>
      <c r="H235" s="2">
        <v>683397</v>
      </c>
      <c r="I235" s="2">
        <v>108147</v>
      </c>
      <c r="J235" s="3">
        <v>44528</v>
      </c>
      <c r="K235" t="s">
        <v>71</v>
      </c>
      <c r="L235" t="s">
        <v>72</v>
      </c>
      <c r="M235">
        <v>2022</v>
      </c>
      <c r="N235" t="s">
        <v>76</v>
      </c>
      <c r="O235" t="s">
        <v>23</v>
      </c>
      <c r="P235" t="s">
        <v>41</v>
      </c>
    </row>
    <row r="236" spans="1:16" x14ac:dyDescent="0.3">
      <c r="A236" t="s">
        <v>37</v>
      </c>
      <c r="B236" t="s">
        <v>176</v>
      </c>
      <c r="C236" t="s">
        <v>18</v>
      </c>
      <c r="D236" t="s">
        <v>63</v>
      </c>
      <c r="E236" s="2">
        <v>1375.5</v>
      </c>
      <c r="F236" s="2">
        <v>20</v>
      </c>
      <c r="G236">
        <v>275.10000000000002</v>
      </c>
      <c r="H236" s="2">
        <v>27234.899999999998</v>
      </c>
      <c r="I236" s="2">
        <v>13479.899999999998</v>
      </c>
      <c r="J236" s="3">
        <v>44886</v>
      </c>
      <c r="K236" t="s">
        <v>71</v>
      </c>
      <c r="L236" t="s">
        <v>72</v>
      </c>
      <c r="M236">
        <v>2022</v>
      </c>
      <c r="N236" t="s">
        <v>177</v>
      </c>
      <c r="O236" t="s">
        <v>23</v>
      </c>
      <c r="P236" t="s">
        <v>36</v>
      </c>
    </row>
    <row r="237" spans="1:16" x14ac:dyDescent="0.3">
      <c r="A237" t="s">
        <v>37</v>
      </c>
      <c r="B237" t="s">
        <v>142</v>
      </c>
      <c r="C237" t="s">
        <v>18</v>
      </c>
      <c r="D237" t="s">
        <v>63</v>
      </c>
      <c r="E237" s="2">
        <v>1830</v>
      </c>
      <c r="F237" s="2">
        <v>7</v>
      </c>
      <c r="G237">
        <v>128.1</v>
      </c>
      <c r="H237" s="2">
        <v>12681.9</v>
      </c>
      <c r="I237" s="2">
        <v>3531.8999999999996</v>
      </c>
      <c r="J237" s="3">
        <v>44415</v>
      </c>
      <c r="K237" t="s">
        <v>39</v>
      </c>
      <c r="L237" t="s">
        <v>21</v>
      </c>
      <c r="M237">
        <v>2022</v>
      </c>
      <c r="N237" t="s">
        <v>143</v>
      </c>
      <c r="O237" t="s">
        <v>23</v>
      </c>
      <c r="P237" t="s">
        <v>36</v>
      </c>
    </row>
    <row r="238" spans="1:16" x14ac:dyDescent="0.3">
      <c r="A238" t="s">
        <v>25</v>
      </c>
      <c r="B238" t="s">
        <v>108</v>
      </c>
      <c r="C238" t="s">
        <v>27</v>
      </c>
      <c r="D238" t="s">
        <v>63</v>
      </c>
      <c r="E238" s="2">
        <v>1514</v>
      </c>
      <c r="F238" s="2">
        <v>15</v>
      </c>
      <c r="G238">
        <v>227.1</v>
      </c>
      <c r="H238" s="2">
        <v>22482.9</v>
      </c>
      <c r="I238" s="2">
        <v>7342.9000000000015</v>
      </c>
      <c r="J238" s="3">
        <v>44811</v>
      </c>
      <c r="K238" t="s">
        <v>20</v>
      </c>
      <c r="L238" t="s">
        <v>21</v>
      </c>
      <c r="M238">
        <v>2022</v>
      </c>
      <c r="N238" t="s">
        <v>109</v>
      </c>
      <c r="O238" t="s">
        <v>31</v>
      </c>
      <c r="P238" t="s">
        <v>32</v>
      </c>
    </row>
    <row r="239" spans="1:16" x14ac:dyDescent="0.3">
      <c r="A239" t="s">
        <v>37</v>
      </c>
      <c r="B239" t="s">
        <v>110</v>
      </c>
      <c r="C239" t="s">
        <v>27</v>
      </c>
      <c r="D239" t="s">
        <v>63</v>
      </c>
      <c r="E239" s="2">
        <v>4492.5</v>
      </c>
      <c r="F239" s="2">
        <v>7</v>
      </c>
      <c r="G239">
        <v>314.47500000000002</v>
      </c>
      <c r="H239" s="2">
        <v>31133.024999999998</v>
      </c>
      <c r="I239" s="2">
        <v>8670.5249999999978</v>
      </c>
      <c r="J239" s="3">
        <v>44244</v>
      </c>
      <c r="K239" t="s">
        <v>57</v>
      </c>
      <c r="L239" t="s">
        <v>29</v>
      </c>
      <c r="M239">
        <v>2022</v>
      </c>
      <c r="N239" t="s">
        <v>111</v>
      </c>
      <c r="O239" t="s">
        <v>31</v>
      </c>
      <c r="P239" t="s">
        <v>36</v>
      </c>
    </row>
    <row r="240" spans="1:16" x14ac:dyDescent="0.3">
      <c r="A240" t="s">
        <v>16</v>
      </c>
      <c r="B240" t="s">
        <v>269</v>
      </c>
      <c r="C240" t="s">
        <v>27</v>
      </c>
      <c r="D240" t="s">
        <v>63</v>
      </c>
      <c r="E240" s="2">
        <v>727</v>
      </c>
      <c r="F240" s="2">
        <v>125</v>
      </c>
      <c r="G240">
        <v>908.75</v>
      </c>
      <c r="H240" s="2">
        <v>89966.25</v>
      </c>
      <c r="I240" s="2">
        <v>2726.25</v>
      </c>
      <c r="J240" s="3">
        <v>44625</v>
      </c>
      <c r="K240" t="s">
        <v>82</v>
      </c>
      <c r="L240" t="s">
        <v>29</v>
      </c>
      <c r="M240">
        <v>2022</v>
      </c>
      <c r="N240" t="s">
        <v>236</v>
      </c>
      <c r="O240" t="s">
        <v>31</v>
      </c>
      <c r="P240" t="s">
        <v>36</v>
      </c>
    </row>
    <row r="241" spans="1:16" x14ac:dyDescent="0.3">
      <c r="A241" t="s">
        <v>16</v>
      </c>
      <c r="B241" t="s">
        <v>160</v>
      </c>
      <c r="C241" t="s">
        <v>27</v>
      </c>
      <c r="D241" t="s">
        <v>63</v>
      </c>
      <c r="E241" s="2">
        <v>787</v>
      </c>
      <c r="F241" s="2">
        <v>125</v>
      </c>
      <c r="G241">
        <v>983.75</v>
      </c>
      <c r="H241" s="2">
        <v>97391.25</v>
      </c>
      <c r="I241" s="2">
        <v>2951.25</v>
      </c>
      <c r="J241" s="3">
        <v>44371</v>
      </c>
      <c r="K241" t="s">
        <v>146</v>
      </c>
      <c r="L241" t="s">
        <v>68</v>
      </c>
      <c r="M241">
        <v>2022</v>
      </c>
      <c r="N241" t="s">
        <v>161</v>
      </c>
      <c r="O241" t="s">
        <v>31</v>
      </c>
      <c r="P241" t="s">
        <v>36</v>
      </c>
    </row>
    <row r="242" spans="1:16" x14ac:dyDescent="0.3">
      <c r="A242" t="s">
        <v>16</v>
      </c>
      <c r="B242" t="s">
        <v>103</v>
      </c>
      <c r="C242" t="s">
        <v>27</v>
      </c>
      <c r="D242" t="s">
        <v>63</v>
      </c>
      <c r="E242" s="2">
        <v>1823</v>
      </c>
      <c r="F242" s="2">
        <v>125</v>
      </c>
      <c r="G242">
        <v>2278.75</v>
      </c>
      <c r="H242" s="2">
        <v>225596.25</v>
      </c>
      <c r="I242" s="2">
        <v>6836.25</v>
      </c>
      <c r="J242" s="3">
        <v>44895</v>
      </c>
      <c r="K242" t="s">
        <v>71</v>
      </c>
      <c r="L242" t="s">
        <v>72</v>
      </c>
      <c r="M242">
        <v>2022</v>
      </c>
      <c r="N242" t="s">
        <v>105</v>
      </c>
      <c r="O242" t="s">
        <v>31</v>
      </c>
      <c r="P242" t="s">
        <v>60</v>
      </c>
    </row>
    <row r="243" spans="1:16" x14ac:dyDescent="0.3">
      <c r="A243" t="s">
        <v>25</v>
      </c>
      <c r="B243" t="s">
        <v>132</v>
      </c>
      <c r="C243" t="s">
        <v>27</v>
      </c>
      <c r="D243" t="s">
        <v>63</v>
      </c>
      <c r="E243" s="2">
        <v>747</v>
      </c>
      <c r="F243" s="2">
        <v>15</v>
      </c>
      <c r="G243">
        <v>112.05</v>
      </c>
      <c r="H243" s="2">
        <v>11092.95</v>
      </c>
      <c r="I243" s="2">
        <v>3622.9500000000007</v>
      </c>
      <c r="J243" s="3">
        <v>44355</v>
      </c>
      <c r="K243" t="s">
        <v>146</v>
      </c>
      <c r="L243" t="s">
        <v>68</v>
      </c>
      <c r="M243">
        <v>2022</v>
      </c>
      <c r="N243" t="s">
        <v>133</v>
      </c>
      <c r="O243" t="s">
        <v>31</v>
      </c>
      <c r="P243" t="s">
        <v>49</v>
      </c>
    </row>
    <row r="244" spans="1:16" x14ac:dyDescent="0.3">
      <c r="A244" t="s">
        <v>33</v>
      </c>
      <c r="B244" t="s">
        <v>270</v>
      </c>
      <c r="C244" t="s">
        <v>27</v>
      </c>
      <c r="D244" t="s">
        <v>63</v>
      </c>
      <c r="E244" s="2">
        <v>2905</v>
      </c>
      <c r="F244" s="2">
        <v>300</v>
      </c>
      <c r="G244">
        <v>8715</v>
      </c>
      <c r="H244" s="2">
        <v>862785</v>
      </c>
      <c r="I244" s="2">
        <v>136535</v>
      </c>
      <c r="J244" s="3">
        <v>44578</v>
      </c>
      <c r="K244" t="s">
        <v>28</v>
      </c>
      <c r="L244" t="s">
        <v>29</v>
      </c>
      <c r="M244">
        <v>2022</v>
      </c>
      <c r="N244" t="s">
        <v>238</v>
      </c>
      <c r="O244" t="s">
        <v>31</v>
      </c>
      <c r="P244" t="s">
        <v>41</v>
      </c>
    </row>
    <row r="245" spans="1:16" x14ac:dyDescent="0.3">
      <c r="A245" t="s">
        <v>37</v>
      </c>
      <c r="B245" t="s">
        <v>162</v>
      </c>
      <c r="C245" t="s">
        <v>27</v>
      </c>
      <c r="D245" t="s">
        <v>63</v>
      </c>
      <c r="E245" s="2">
        <v>2155</v>
      </c>
      <c r="F245" s="2">
        <v>350</v>
      </c>
      <c r="G245">
        <v>7542.5</v>
      </c>
      <c r="H245" s="2">
        <v>746707.5</v>
      </c>
      <c r="I245" s="2">
        <v>186407.5</v>
      </c>
      <c r="J245" s="3">
        <v>44777</v>
      </c>
      <c r="K245" t="s">
        <v>39</v>
      </c>
      <c r="L245" t="s">
        <v>21</v>
      </c>
      <c r="M245">
        <v>2022</v>
      </c>
      <c r="N245" t="s">
        <v>163</v>
      </c>
      <c r="O245" t="s">
        <v>31</v>
      </c>
      <c r="P245" t="s">
        <v>41</v>
      </c>
    </row>
    <row r="246" spans="1:16" x14ac:dyDescent="0.3">
      <c r="A246" t="s">
        <v>37</v>
      </c>
      <c r="B246" t="s">
        <v>166</v>
      </c>
      <c r="C246" t="s">
        <v>51</v>
      </c>
      <c r="D246" t="s">
        <v>63</v>
      </c>
      <c r="E246" s="2">
        <v>3864</v>
      </c>
      <c r="F246" s="2">
        <v>20</v>
      </c>
      <c r="G246">
        <v>772.80000000000007</v>
      </c>
      <c r="H246" s="2">
        <v>76507.200000000012</v>
      </c>
      <c r="I246" s="2">
        <v>37867.200000000004</v>
      </c>
      <c r="J246" s="3">
        <v>44482</v>
      </c>
      <c r="K246" t="s">
        <v>85</v>
      </c>
      <c r="L246" t="s">
        <v>72</v>
      </c>
      <c r="M246">
        <v>2022</v>
      </c>
      <c r="N246" t="s">
        <v>167</v>
      </c>
      <c r="O246" t="s">
        <v>53</v>
      </c>
      <c r="P246" t="s">
        <v>49</v>
      </c>
    </row>
    <row r="247" spans="1:16" x14ac:dyDescent="0.3">
      <c r="A247" t="s">
        <v>37</v>
      </c>
      <c r="B247" t="s">
        <v>118</v>
      </c>
      <c r="C247" t="s">
        <v>51</v>
      </c>
      <c r="D247" t="s">
        <v>63</v>
      </c>
      <c r="E247" s="2">
        <v>362</v>
      </c>
      <c r="F247" s="2">
        <v>7</v>
      </c>
      <c r="G247">
        <v>25.34</v>
      </c>
      <c r="H247" s="2">
        <v>2508.66</v>
      </c>
      <c r="I247" s="2">
        <v>698.65999999999985</v>
      </c>
      <c r="J247" s="3">
        <v>44866</v>
      </c>
      <c r="K247" t="s">
        <v>71</v>
      </c>
      <c r="L247" t="s">
        <v>72</v>
      </c>
      <c r="M247">
        <v>2022</v>
      </c>
      <c r="N247" t="s">
        <v>119</v>
      </c>
      <c r="O247" t="s">
        <v>53</v>
      </c>
      <c r="P247" t="s">
        <v>54</v>
      </c>
    </row>
    <row r="248" spans="1:16" x14ac:dyDescent="0.3">
      <c r="A248" t="s">
        <v>16</v>
      </c>
      <c r="B248" t="s">
        <v>50</v>
      </c>
      <c r="C248" t="s">
        <v>51</v>
      </c>
      <c r="D248" t="s">
        <v>63</v>
      </c>
      <c r="E248" s="2">
        <v>923</v>
      </c>
      <c r="F248" s="2">
        <v>125</v>
      </c>
      <c r="G248">
        <v>1153.75</v>
      </c>
      <c r="H248" s="2">
        <v>114221.25</v>
      </c>
      <c r="I248" s="2">
        <v>3461.25</v>
      </c>
      <c r="J248" s="3">
        <v>44655</v>
      </c>
      <c r="K248" t="s">
        <v>67</v>
      </c>
      <c r="L248" t="s">
        <v>68</v>
      </c>
      <c r="M248">
        <v>2022</v>
      </c>
      <c r="N248" t="s">
        <v>52</v>
      </c>
      <c r="O248" t="s">
        <v>53</v>
      </c>
      <c r="P248" t="s">
        <v>54</v>
      </c>
    </row>
    <row r="249" spans="1:16" x14ac:dyDescent="0.3">
      <c r="A249" t="s">
        <v>37</v>
      </c>
      <c r="B249" t="s">
        <v>170</v>
      </c>
      <c r="C249" t="s">
        <v>56</v>
      </c>
      <c r="D249" t="s">
        <v>63</v>
      </c>
      <c r="E249" s="2">
        <v>263</v>
      </c>
      <c r="F249" s="2">
        <v>7</v>
      </c>
      <c r="G249">
        <v>18.41</v>
      </c>
      <c r="H249" s="2">
        <v>1822.59</v>
      </c>
      <c r="I249" s="2">
        <v>507.58999999999992</v>
      </c>
      <c r="J249" s="3">
        <v>44917</v>
      </c>
      <c r="K249" t="s">
        <v>75</v>
      </c>
      <c r="L249" t="s">
        <v>72</v>
      </c>
      <c r="M249">
        <v>2022</v>
      </c>
      <c r="N249" t="s">
        <v>171</v>
      </c>
      <c r="O249" t="s">
        <v>59</v>
      </c>
      <c r="P249" t="s">
        <v>60</v>
      </c>
    </row>
    <row r="250" spans="1:16" x14ac:dyDescent="0.3">
      <c r="A250" t="s">
        <v>37</v>
      </c>
      <c r="B250" t="s">
        <v>168</v>
      </c>
      <c r="C250" t="s">
        <v>56</v>
      </c>
      <c r="D250" t="s">
        <v>63</v>
      </c>
      <c r="E250" s="2">
        <v>943.5</v>
      </c>
      <c r="F250" s="2">
        <v>350</v>
      </c>
      <c r="G250">
        <v>3302.25</v>
      </c>
      <c r="H250" s="2">
        <v>326922.75</v>
      </c>
      <c r="I250" s="2">
        <v>81612.75</v>
      </c>
      <c r="J250" s="3">
        <v>44460</v>
      </c>
      <c r="K250" t="s">
        <v>20</v>
      </c>
      <c r="L250" t="s">
        <v>21</v>
      </c>
      <c r="M250">
        <v>2022</v>
      </c>
      <c r="N250" t="s">
        <v>169</v>
      </c>
      <c r="O250" t="s">
        <v>59</v>
      </c>
      <c r="P250" t="s">
        <v>54</v>
      </c>
    </row>
    <row r="251" spans="1:16" x14ac:dyDescent="0.3">
      <c r="A251" t="s">
        <v>16</v>
      </c>
      <c r="B251" t="s">
        <v>271</v>
      </c>
      <c r="C251" t="s">
        <v>56</v>
      </c>
      <c r="D251" t="s">
        <v>63</v>
      </c>
      <c r="E251" s="2">
        <v>727</v>
      </c>
      <c r="F251" s="2">
        <v>125</v>
      </c>
      <c r="G251">
        <v>908.75</v>
      </c>
      <c r="H251" s="2">
        <v>89966.25</v>
      </c>
      <c r="I251" s="2">
        <v>2726.25</v>
      </c>
      <c r="J251" s="3">
        <v>44316</v>
      </c>
      <c r="K251" t="s">
        <v>67</v>
      </c>
      <c r="L251" t="s">
        <v>68</v>
      </c>
      <c r="M251">
        <v>2022</v>
      </c>
      <c r="N251" t="s">
        <v>173</v>
      </c>
      <c r="O251" t="s">
        <v>59</v>
      </c>
      <c r="P251" t="s">
        <v>46</v>
      </c>
    </row>
    <row r="252" spans="1:16" x14ac:dyDescent="0.3">
      <c r="A252" t="s">
        <v>16</v>
      </c>
      <c r="B252" t="s">
        <v>272</v>
      </c>
      <c r="C252" t="s">
        <v>56</v>
      </c>
      <c r="D252" t="s">
        <v>63</v>
      </c>
      <c r="E252" s="2">
        <v>787</v>
      </c>
      <c r="F252" s="2">
        <v>125</v>
      </c>
      <c r="G252">
        <v>983.75</v>
      </c>
      <c r="H252" s="2">
        <v>97391.25</v>
      </c>
      <c r="I252" s="2">
        <v>2951.25</v>
      </c>
      <c r="J252" s="3">
        <v>44343</v>
      </c>
      <c r="K252" t="s">
        <v>104</v>
      </c>
      <c r="L252" t="s">
        <v>68</v>
      </c>
      <c r="M252">
        <v>2022</v>
      </c>
      <c r="N252" t="s">
        <v>241</v>
      </c>
      <c r="O252" t="s">
        <v>59</v>
      </c>
      <c r="P252" t="s">
        <v>49</v>
      </c>
    </row>
    <row r="253" spans="1:16" x14ac:dyDescent="0.3">
      <c r="A253" t="s">
        <v>33</v>
      </c>
      <c r="B253" t="s">
        <v>120</v>
      </c>
      <c r="C253" t="s">
        <v>56</v>
      </c>
      <c r="D253" t="s">
        <v>63</v>
      </c>
      <c r="E253" s="2">
        <v>986</v>
      </c>
      <c r="F253" s="2">
        <v>300</v>
      </c>
      <c r="G253">
        <v>2958</v>
      </c>
      <c r="H253" s="2">
        <v>292842</v>
      </c>
      <c r="I253" s="2">
        <v>46342</v>
      </c>
      <c r="J253" s="3">
        <v>44843</v>
      </c>
      <c r="K253" t="s">
        <v>85</v>
      </c>
      <c r="L253" t="s">
        <v>72</v>
      </c>
      <c r="M253">
        <v>2022</v>
      </c>
      <c r="N253" t="s">
        <v>121</v>
      </c>
      <c r="O253" t="s">
        <v>59</v>
      </c>
      <c r="P253" t="s">
        <v>60</v>
      </c>
    </row>
    <row r="254" spans="1:16" x14ac:dyDescent="0.3">
      <c r="A254" t="s">
        <v>37</v>
      </c>
      <c r="B254" t="s">
        <v>124</v>
      </c>
      <c r="C254" t="s">
        <v>56</v>
      </c>
      <c r="D254" t="s">
        <v>63</v>
      </c>
      <c r="E254" s="2">
        <v>1397</v>
      </c>
      <c r="F254" s="2">
        <v>350</v>
      </c>
      <c r="G254">
        <v>4889.5</v>
      </c>
      <c r="H254" s="2">
        <v>484060.5</v>
      </c>
      <c r="I254" s="2">
        <v>120840.5</v>
      </c>
      <c r="J254" s="3">
        <v>44843</v>
      </c>
      <c r="K254" t="s">
        <v>85</v>
      </c>
      <c r="L254" t="s">
        <v>72</v>
      </c>
      <c r="M254">
        <v>2022</v>
      </c>
      <c r="N254" t="s">
        <v>125</v>
      </c>
      <c r="O254" t="s">
        <v>59</v>
      </c>
      <c r="P254" t="s">
        <v>32</v>
      </c>
    </row>
    <row r="255" spans="1:16" x14ac:dyDescent="0.3">
      <c r="A255" t="s">
        <v>16</v>
      </c>
      <c r="B255" t="s">
        <v>272</v>
      </c>
      <c r="C255" t="s">
        <v>56</v>
      </c>
      <c r="D255" t="s">
        <v>63</v>
      </c>
      <c r="E255" s="2">
        <v>1744</v>
      </c>
      <c r="F255" s="2">
        <v>125</v>
      </c>
      <c r="G255">
        <v>2180</v>
      </c>
      <c r="H255" s="2">
        <v>215820</v>
      </c>
      <c r="I255" s="2">
        <v>6540</v>
      </c>
      <c r="J255" s="3">
        <v>44460</v>
      </c>
      <c r="K255" t="s">
        <v>20</v>
      </c>
      <c r="L255" t="s">
        <v>21</v>
      </c>
      <c r="M255">
        <v>2022</v>
      </c>
      <c r="N255" t="s">
        <v>241</v>
      </c>
      <c r="O255" t="s">
        <v>59</v>
      </c>
      <c r="P255" t="s">
        <v>49</v>
      </c>
    </row>
    <row r="256" spans="1:16" x14ac:dyDescent="0.3">
      <c r="A256" t="s">
        <v>16</v>
      </c>
      <c r="B256" t="s">
        <v>240</v>
      </c>
      <c r="C256" t="s">
        <v>62</v>
      </c>
      <c r="D256" t="s">
        <v>63</v>
      </c>
      <c r="E256" s="2">
        <v>742.5</v>
      </c>
      <c r="F256" s="2">
        <v>125</v>
      </c>
      <c r="G256">
        <v>1856.25</v>
      </c>
      <c r="H256" s="2">
        <v>90956.25</v>
      </c>
      <c r="I256" s="2">
        <v>1856.25</v>
      </c>
      <c r="J256" s="3">
        <v>44708</v>
      </c>
      <c r="K256" t="s">
        <v>104</v>
      </c>
      <c r="L256" t="s">
        <v>68</v>
      </c>
      <c r="M256">
        <v>2022</v>
      </c>
      <c r="N256" t="s">
        <v>241</v>
      </c>
      <c r="O256" t="s">
        <v>65</v>
      </c>
      <c r="P256" t="s">
        <v>49</v>
      </c>
    </row>
    <row r="257" spans="1:16" x14ac:dyDescent="0.3">
      <c r="A257" t="s">
        <v>42</v>
      </c>
      <c r="B257" t="s">
        <v>128</v>
      </c>
      <c r="C257" t="s">
        <v>62</v>
      </c>
      <c r="D257" t="s">
        <v>63</v>
      </c>
      <c r="E257" s="2">
        <v>1295</v>
      </c>
      <c r="F257" s="2">
        <v>12</v>
      </c>
      <c r="G257">
        <v>310.8</v>
      </c>
      <c r="H257" s="2">
        <v>15229.2</v>
      </c>
      <c r="I257" s="2">
        <v>11344.2</v>
      </c>
      <c r="J257" s="3">
        <v>44319</v>
      </c>
      <c r="K257" t="s">
        <v>104</v>
      </c>
      <c r="L257" t="s">
        <v>68</v>
      </c>
      <c r="M257">
        <v>2022</v>
      </c>
      <c r="N257" t="s">
        <v>129</v>
      </c>
      <c r="O257" t="s">
        <v>65</v>
      </c>
      <c r="P257" t="s">
        <v>41</v>
      </c>
    </row>
    <row r="258" spans="1:16" x14ac:dyDescent="0.3">
      <c r="A258" t="s">
        <v>37</v>
      </c>
      <c r="B258" t="s">
        <v>140</v>
      </c>
      <c r="C258" t="s">
        <v>62</v>
      </c>
      <c r="D258" t="s">
        <v>63</v>
      </c>
      <c r="E258" s="2">
        <v>2852</v>
      </c>
      <c r="F258" s="2">
        <v>350</v>
      </c>
      <c r="G258">
        <v>19964</v>
      </c>
      <c r="H258" s="2">
        <v>978236</v>
      </c>
      <c r="I258" s="2">
        <v>236716</v>
      </c>
      <c r="J258" s="3">
        <v>44397</v>
      </c>
      <c r="K258" t="s">
        <v>44</v>
      </c>
      <c r="L258" t="s">
        <v>21</v>
      </c>
      <c r="M258">
        <v>2022</v>
      </c>
      <c r="N258" t="s">
        <v>141</v>
      </c>
      <c r="O258" t="s">
        <v>65</v>
      </c>
      <c r="P258" t="s">
        <v>32</v>
      </c>
    </row>
    <row r="259" spans="1:16" x14ac:dyDescent="0.3">
      <c r="A259" t="s">
        <v>42</v>
      </c>
      <c r="B259" t="s">
        <v>273</v>
      </c>
      <c r="C259" t="s">
        <v>18</v>
      </c>
      <c r="D259" t="s">
        <v>63</v>
      </c>
      <c r="E259" s="2">
        <v>1142</v>
      </c>
      <c r="F259" s="2">
        <v>12</v>
      </c>
      <c r="G259">
        <v>274.08</v>
      </c>
      <c r="H259" s="2">
        <v>13429.92</v>
      </c>
      <c r="I259" s="2">
        <v>10003.92</v>
      </c>
      <c r="J259" s="3">
        <v>44875</v>
      </c>
      <c r="K259" t="s">
        <v>71</v>
      </c>
      <c r="L259" t="s">
        <v>72</v>
      </c>
      <c r="M259">
        <v>2022</v>
      </c>
      <c r="N259" t="s">
        <v>243</v>
      </c>
      <c r="O259" t="s">
        <v>23</v>
      </c>
      <c r="P259" t="s">
        <v>54</v>
      </c>
    </row>
    <row r="260" spans="1:16" x14ac:dyDescent="0.3">
      <c r="A260" t="s">
        <v>37</v>
      </c>
      <c r="B260" t="s">
        <v>249</v>
      </c>
      <c r="C260" t="s">
        <v>18</v>
      </c>
      <c r="D260" t="s">
        <v>63</v>
      </c>
      <c r="E260" s="2">
        <v>1566</v>
      </c>
      <c r="F260" s="2">
        <v>20</v>
      </c>
      <c r="G260">
        <v>626.4</v>
      </c>
      <c r="H260" s="2">
        <v>30693.599999999999</v>
      </c>
      <c r="I260" s="2">
        <v>15033.599999999999</v>
      </c>
      <c r="J260" s="3">
        <v>44394</v>
      </c>
      <c r="K260" t="s">
        <v>44</v>
      </c>
      <c r="L260" t="s">
        <v>21</v>
      </c>
      <c r="M260">
        <v>2022</v>
      </c>
      <c r="N260" t="s">
        <v>207</v>
      </c>
      <c r="O260" t="s">
        <v>23</v>
      </c>
      <c r="P260" t="s">
        <v>36</v>
      </c>
    </row>
    <row r="261" spans="1:16" x14ac:dyDescent="0.3">
      <c r="A261" t="s">
        <v>42</v>
      </c>
      <c r="B261" t="s">
        <v>274</v>
      </c>
      <c r="C261" t="s">
        <v>18</v>
      </c>
      <c r="D261" t="s">
        <v>63</v>
      </c>
      <c r="E261" s="2">
        <v>690</v>
      </c>
      <c r="F261" s="2">
        <v>12</v>
      </c>
      <c r="G261">
        <v>165.6</v>
      </c>
      <c r="H261" s="2">
        <v>8114.4</v>
      </c>
      <c r="I261" s="2">
        <v>6044.4</v>
      </c>
      <c r="J261" s="3">
        <v>44768</v>
      </c>
      <c r="K261" t="s">
        <v>44</v>
      </c>
      <c r="L261" t="s">
        <v>21</v>
      </c>
      <c r="M261">
        <v>2022</v>
      </c>
      <c r="N261" t="s">
        <v>201</v>
      </c>
      <c r="O261" t="s">
        <v>23</v>
      </c>
      <c r="P261" t="s">
        <v>60</v>
      </c>
    </row>
    <row r="262" spans="1:16" x14ac:dyDescent="0.3">
      <c r="A262" t="s">
        <v>25</v>
      </c>
      <c r="B262" t="s">
        <v>47</v>
      </c>
      <c r="C262" t="s">
        <v>27</v>
      </c>
      <c r="D262" t="s">
        <v>63</v>
      </c>
      <c r="E262" s="2">
        <v>2363</v>
      </c>
      <c r="F262" s="2">
        <v>15</v>
      </c>
      <c r="G262">
        <v>708.9</v>
      </c>
      <c r="H262" s="2">
        <v>34736.1</v>
      </c>
      <c r="I262" s="2">
        <v>11106.099999999999</v>
      </c>
      <c r="J262" s="3">
        <v>44858</v>
      </c>
      <c r="K262" t="s">
        <v>85</v>
      </c>
      <c r="L262" t="s">
        <v>72</v>
      </c>
      <c r="M262">
        <v>2022</v>
      </c>
      <c r="N262" t="s">
        <v>48</v>
      </c>
      <c r="O262" t="s">
        <v>31</v>
      </c>
      <c r="P262" t="s">
        <v>49</v>
      </c>
    </row>
    <row r="263" spans="1:16" x14ac:dyDescent="0.3">
      <c r="A263" t="s">
        <v>33</v>
      </c>
      <c r="B263" t="s">
        <v>275</v>
      </c>
      <c r="C263" t="s">
        <v>27</v>
      </c>
      <c r="D263" t="s">
        <v>63</v>
      </c>
      <c r="E263" s="2">
        <v>918</v>
      </c>
      <c r="F263" s="2">
        <v>300</v>
      </c>
      <c r="G263">
        <v>5508</v>
      </c>
      <c r="H263" s="2">
        <v>269892</v>
      </c>
      <c r="I263" s="2">
        <v>40392</v>
      </c>
      <c r="J263" s="3">
        <v>44349</v>
      </c>
      <c r="K263" t="s">
        <v>146</v>
      </c>
      <c r="L263" t="s">
        <v>68</v>
      </c>
      <c r="M263">
        <v>2022</v>
      </c>
      <c r="N263" t="s">
        <v>203</v>
      </c>
      <c r="O263" t="s">
        <v>31</v>
      </c>
      <c r="P263" t="s">
        <v>24</v>
      </c>
    </row>
    <row r="264" spans="1:16" x14ac:dyDescent="0.3">
      <c r="A264" t="s">
        <v>33</v>
      </c>
      <c r="B264" t="s">
        <v>195</v>
      </c>
      <c r="C264" t="s">
        <v>27</v>
      </c>
      <c r="D264" t="s">
        <v>63</v>
      </c>
      <c r="E264" s="2">
        <v>1728</v>
      </c>
      <c r="F264" s="2">
        <v>300</v>
      </c>
      <c r="G264">
        <v>10368</v>
      </c>
      <c r="H264" s="2">
        <v>508032</v>
      </c>
      <c r="I264" s="2">
        <v>76032</v>
      </c>
      <c r="J264" s="3">
        <v>44406</v>
      </c>
      <c r="K264" t="s">
        <v>44</v>
      </c>
      <c r="L264" t="s">
        <v>21</v>
      </c>
      <c r="M264">
        <v>2022</v>
      </c>
      <c r="N264" t="s">
        <v>173</v>
      </c>
      <c r="O264" t="s">
        <v>31</v>
      </c>
      <c r="P264" t="s">
        <v>46</v>
      </c>
    </row>
    <row r="265" spans="1:16" x14ac:dyDescent="0.3">
      <c r="A265" t="s">
        <v>42</v>
      </c>
      <c r="B265" t="s">
        <v>43</v>
      </c>
      <c r="C265" t="s">
        <v>27</v>
      </c>
      <c r="D265" t="s">
        <v>63</v>
      </c>
      <c r="E265" s="2">
        <v>1142</v>
      </c>
      <c r="F265" s="2">
        <v>12</v>
      </c>
      <c r="G265">
        <v>274.08</v>
      </c>
      <c r="H265" s="2">
        <v>13429.92</v>
      </c>
      <c r="I265" s="2">
        <v>10003.92</v>
      </c>
      <c r="J265" s="3">
        <v>44336</v>
      </c>
      <c r="K265" t="s">
        <v>104</v>
      </c>
      <c r="L265" t="s">
        <v>68</v>
      </c>
      <c r="M265">
        <v>2022</v>
      </c>
      <c r="N265" t="s">
        <v>45</v>
      </c>
      <c r="O265" t="s">
        <v>31</v>
      </c>
      <c r="P265" t="s">
        <v>46</v>
      </c>
    </row>
    <row r="266" spans="1:16" x14ac:dyDescent="0.3">
      <c r="A266" t="s">
        <v>16</v>
      </c>
      <c r="B266" t="s">
        <v>103</v>
      </c>
      <c r="C266" t="s">
        <v>27</v>
      </c>
      <c r="D266" t="s">
        <v>63</v>
      </c>
      <c r="E266" s="2">
        <v>662</v>
      </c>
      <c r="F266" s="2">
        <v>125</v>
      </c>
      <c r="G266">
        <v>1655</v>
      </c>
      <c r="H266" s="2">
        <v>81095</v>
      </c>
      <c r="I266" s="2">
        <v>1655</v>
      </c>
      <c r="J266" s="3">
        <v>44317</v>
      </c>
      <c r="K266" t="s">
        <v>104</v>
      </c>
      <c r="L266" t="s">
        <v>68</v>
      </c>
      <c r="M266">
        <v>2022</v>
      </c>
      <c r="N266" t="s">
        <v>105</v>
      </c>
      <c r="O266" t="s">
        <v>31</v>
      </c>
      <c r="P266" t="s">
        <v>60</v>
      </c>
    </row>
    <row r="267" spans="1:16" x14ac:dyDescent="0.3">
      <c r="A267" t="s">
        <v>42</v>
      </c>
      <c r="B267" t="s">
        <v>178</v>
      </c>
      <c r="C267" t="s">
        <v>27</v>
      </c>
      <c r="D267" t="s">
        <v>63</v>
      </c>
      <c r="E267" s="2">
        <v>1295</v>
      </c>
      <c r="F267" s="2">
        <v>12</v>
      </c>
      <c r="G267">
        <v>310.8</v>
      </c>
      <c r="H267" s="2">
        <v>15229.2</v>
      </c>
      <c r="I267" s="2">
        <v>11344.2</v>
      </c>
      <c r="J267" s="3">
        <v>44250</v>
      </c>
      <c r="K267" t="s">
        <v>57</v>
      </c>
      <c r="L267" t="s">
        <v>29</v>
      </c>
      <c r="M267">
        <v>2022</v>
      </c>
      <c r="N267" t="s">
        <v>141</v>
      </c>
      <c r="O267" t="s">
        <v>31</v>
      </c>
      <c r="P267" t="s">
        <v>41</v>
      </c>
    </row>
    <row r="268" spans="1:16" x14ac:dyDescent="0.3">
      <c r="A268" t="s">
        <v>33</v>
      </c>
      <c r="B268" t="s">
        <v>196</v>
      </c>
      <c r="C268" t="s">
        <v>27</v>
      </c>
      <c r="D268" t="s">
        <v>63</v>
      </c>
      <c r="E268" s="2">
        <v>1916</v>
      </c>
      <c r="F268" s="2">
        <v>300</v>
      </c>
      <c r="G268">
        <v>11496</v>
      </c>
      <c r="H268" s="2">
        <v>563304</v>
      </c>
      <c r="I268" s="2">
        <v>84304</v>
      </c>
      <c r="J268" s="3">
        <v>44546</v>
      </c>
      <c r="K268" t="s">
        <v>75</v>
      </c>
      <c r="L268" t="s">
        <v>72</v>
      </c>
      <c r="M268">
        <v>2022</v>
      </c>
      <c r="N268" t="s">
        <v>197</v>
      </c>
      <c r="O268" t="s">
        <v>31</v>
      </c>
      <c r="P268" t="s">
        <v>49</v>
      </c>
    </row>
    <row r="269" spans="1:16" x14ac:dyDescent="0.3">
      <c r="A269" t="s">
        <v>37</v>
      </c>
      <c r="B269" t="s">
        <v>38</v>
      </c>
      <c r="C269" t="s">
        <v>27</v>
      </c>
      <c r="D269" t="s">
        <v>63</v>
      </c>
      <c r="E269" s="2">
        <v>2852</v>
      </c>
      <c r="F269" s="2">
        <v>350</v>
      </c>
      <c r="G269">
        <v>19964</v>
      </c>
      <c r="H269" s="2">
        <v>978236</v>
      </c>
      <c r="I269" s="2">
        <v>236716</v>
      </c>
      <c r="J269" s="3">
        <v>44305</v>
      </c>
      <c r="K269" t="s">
        <v>67</v>
      </c>
      <c r="L269" t="s">
        <v>68</v>
      </c>
      <c r="M269">
        <v>2022</v>
      </c>
      <c r="N269" t="s">
        <v>40</v>
      </c>
      <c r="O269" t="s">
        <v>31</v>
      </c>
      <c r="P269" t="s">
        <v>41</v>
      </c>
    </row>
    <row r="270" spans="1:16" x14ac:dyDescent="0.3">
      <c r="A270" t="s">
        <v>16</v>
      </c>
      <c r="B270" t="s">
        <v>276</v>
      </c>
      <c r="C270" t="s">
        <v>27</v>
      </c>
      <c r="D270" t="s">
        <v>63</v>
      </c>
      <c r="E270" s="2">
        <v>2729</v>
      </c>
      <c r="F270" s="2">
        <v>125</v>
      </c>
      <c r="G270">
        <v>6822.5</v>
      </c>
      <c r="H270" s="2">
        <v>334302.5</v>
      </c>
      <c r="I270" s="2">
        <v>6822.5</v>
      </c>
      <c r="J270" s="3">
        <v>44534</v>
      </c>
      <c r="K270" t="s">
        <v>75</v>
      </c>
      <c r="L270" t="s">
        <v>72</v>
      </c>
      <c r="M270">
        <v>2022</v>
      </c>
      <c r="N270" t="s">
        <v>205</v>
      </c>
      <c r="O270" t="s">
        <v>31</v>
      </c>
      <c r="P270" t="s">
        <v>32</v>
      </c>
    </row>
    <row r="271" spans="1:16" x14ac:dyDescent="0.3">
      <c r="A271" t="s">
        <v>42</v>
      </c>
      <c r="B271" t="s">
        <v>106</v>
      </c>
      <c r="C271" t="s">
        <v>27</v>
      </c>
      <c r="D271" t="s">
        <v>63</v>
      </c>
      <c r="E271" s="2">
        <v>1055</v>
      </c>
      <c r="F271" s="2">
        <v>12</v>
      </c>
      <c r="G271">
        <v>253.2</v>
      </c>
      <c r="H271" s="2">
        <v>12406.8</v>
      </c>
      <c r="I271" s="2">
        <v>9241.7999999999993</v>
      </c>
      <c r="J271" s="3">
        <v>44233</v>
      </c>
      <c r="K271" t="s">
        <v>57</v>
      </c>
      <c r="L271" t="s">
        <v>29</v>
      </c>
      <c r="M271">
        <v>2022</v>
      </c>
      <c r="N271" t="s">
        <v>107</v>
      </c>
      <c r="O271" t="s">
        <v>31</v>
      </c>
      <c r="P271" t="s">
        <v>24</v>
      </c>
    </row>
    <row r="272" spans="1:16" x14ac:dyDescent="0.3">
      <c r="A272" t="s">
        <v>42</v>
      </c>
      <c r="B272" t="s">
        <v>198</v>
      </c>
      <c r="C272" t="s">
        <v>27</v>
      </c>
      <c r="D272" t="s">
        <v>63</v>
      </c>
      <c r="E272" s="2">
        <v>1084</v>
      </c>
      <c r="F272" s="2">
        <v>12</v>
      </c>
      <c r="G272">
        <v>260.16000000000003</v>
      </c>
      <c r="H272" s="2">
        <v>12747.84</v>
      </c>
      <c r="I272" s="2">
        <v>9495.84</v>
      </c>
      <c r="J272" s="3">
        <v>44670</v>
      </c>
      <c r="K272" t="s">
        <v>67</v>
      </c>
      <c r="L272" t="s">
        <v>68</v>
      </c>
      <c r="M272">
        <v>2022</v>
      </c>
      <c r="N272" t="s">
        <v>199</v>
      </c>
      <c r="O272" t="s">
        <v>31</v>
      </c>
      <c r="P272" t="s">
        <v>54</v>
      </c>
    </row>
    <row r="273" spans="1:16" x14ac:dyDescent="0.3">
      <c r="A273" t="s">
        <v>37</v>
      </c>
      <c r="B273" t="s">
        <v>138</v>
      </c>
      <c r="C273" t="s">
        <v>51</v>
      </c>
      <c r="D273" t="s">
        <v>63</v>
      </c>
      <c r="E273" s="2">
        <v>1566</v>
      </c>
      <c r="F273" s="2">
        <v>20</v>
      </c>
      <c r="G273">
        <v>626.4</v>
      </c>
      <c r="H273" s="2">
        <v>30693.599999999999</v>
      </c>
      <c r="I273" s="2">
        <v>15033.599999999999</v>
      </c>
      <c r="J273" s="3">
        <v>44801</v>
      </c>
      <c r="K273" t="s">
        <v>39</v>
      </c>
      <c r="L273" t="s">
        <v>21</v>
      </c>
      <c r="M273">
        <v>2022</v>
      </c>
      <c r="N273" t="s">
        <v>139</v>
      </c>
      <c r="O273" t="s">
        <v>53</v>
      </c>
      <c r="P273" t="s">
        <v>24</v>
      </c>
    </row>
    <row r="274" spans="1:16" x14ac:dyDescent="0.3">
      <c r="A274" t="s">
        <v>37</v>
      </c>
      <c r="B274" t="s">
        <v>112</v>
      </c>
      <c r="C274" t="s">
        <v>51</v>
      </c>
      <c r="D274" t="s">
        <v>63</v>
      </c>
      <c r="E274" s="2">
        <v>2877</v>
      </c>
      <c r="F274" s="2">
        <v>350</v>
      </c>
      <c r="G274">
        <v>20139</v>
      </c>
      <c r="H274" s="2">
        <v>986811</v>
      </c>
      <c r="I274" s="2">
        <v>238791</v>
      </c>
      <c r="J274" s="3">
        <v>44821</v>
      </c>
      <c r="K274" t="s">
        <v>20</v>
      </c>
      <c r="L274" t="s">
        <v>21</v>
      </c>
      <c r="M274">
        <v>2022</v>
      </c>
      <c r="N274" t="s">
        <v>113</v>
      </c>
      <c r="O274" t="s">
        <v>53</v>
      </c>
      <c r="P274" t="s">
        <v>41</v>
      </c>
    </row>
    <row r="275" spans="1:16" x14ac:dyDescent="0.3">
      <c r="A275" t="s">
        <v>42</v>
      </c>
      <c r="B275" t="s">
        <v>277</v>
      </c>
      <c r="C275" t="s">
        <v>51</v>
      </c>
      <c r="D275" t="s">
        <v>63</v>
      </c>
      <c r="E275" s="2">
        <v>1055</v>
      </c>
      <c r="F275" s="2">
        <v>12</v>
      </c>
      <c r="G275">
        <v>253.2</v>
      </c>
      <c r="H275" s="2">
        <v>12406.8</v>
      </c>
      <c r="I275" s="2">
        <v>9241.7999999999993</v>
      </c>
      <c r="J275" s="3">
        <v>44544</v>
      </c>
      <c r="K275" t="s">
        <v>75</v>
      </c>
      <c r="L275" t="s">
        <v>72</v>
      </c>
      <c r="M275">
        <v>2022</v>
      </c>
      <c r="N275" t="s">
        <v>207</v>
      </c>
      <c r="O275" t="s">
        <v>53</v>
      </c>
      <c r="P275" t="s">
        <v>36</v>
      </c>
    </row>
    <row r="276" spans="1:16" x14ac:dyDescent="0.3">
      <c r="A276" t="s">
        <v>42</v>
      </c>
      <c r="B276" t="s">
        <v>278</v>
      </c>
      <c r="C276" t="s">
        <v>51</v>
      </c>
      <c r="D276" t="s">
        <v>63</v>
      </c>
      <c r="E276" s="2">
        <v>1084</v>
      </c>
      <c r="F276" s="2">
        <v>12</v>
      </c>
      <c r="G276">
        <v>260.16000000000003</v>
      </c>
      <c r="H276" s="2">
        <v>12747.84</v>
      </c>
      <c r="I276" s="2">
        <v>9495.84</v>
      </c>
      <c r="J276" s="3">
        <v>44660</v>
      </c>
      <c r="K276" t="s">
        <v>67</v>
      </c>
      <c r="L276" t="s">
        <v>68</v>
      </c>
      <c r="M276">
        <v>2022</v>
      </c>
      <c r="N276" t="s">
        <v>209</v>
      </c>
      <c r="O276" t="s">
        <v>53</v>
      </c>
      <c r="P276" t="s">
        <v>41</v>
      </c>
    </row>
    <row r="277" spans="1:16" x14ac:dyDescent="0.3">
      <c r="A277" t="s">
        <v>16</v>
      </c>
      <c r="B277" t="s">
        <v>279</v>
      </c>
      <c r="C277" t="s">
        <v>56</v>
      </c>
      <c r="D277" t="s">
        <v>63</v>
      </c>
      <c r="E277" s="2">
        <v>662</v>
      </c>
      <c r="F277" s="2">
        <v>125</v>
      </c>
      <c r="G277">
        <v>1655</v>
      </c>
      <c r="H277" s="2">
        <v>81095</v>
      </c>
      <c r="I277" s="2">
        <v>1655</v>
      </c>
      <c r="J277" s="3">
        <v>44901</v>
      </c>
      <c r="K277" t="s">
        <v>75</v>
      </c>
      <c r="L277" t="s">
        <v>72</v>
      </c>
      <c r="M277">
        <v>2022</v>
      </c>
      <c r="N277" t="s">
        <v>165</v>
      </c>
      <c r="O277" t="s">
        <v>59</v>
      </c>
      <c r="P277" t="s">
        <v>46</v>
      </c>
    </row>
    <row r="278" spans="1:16" x14ac:dyDescent="0.3">
      <c r="A278" t="s">
        <v>37</v>
      </c>
      <c r="B278" t="s">
        <v>170</v>
      </c>
      <c r="C278" t="s">
        <v>56</v>
      </c>
      <c r="D278" t="s">
        <v>63</v>
      </c>
      <c r="E278" s="2">
        <v>2877</v>
      </c>
      <c r="F278" s="2">
        <v>350</v>
      </c>
      <c r="G278">
        <v>20139</v>
      </c>
      <c r="H278" s="2">
        <v>986811</v>
      </c>
      <c r="I278" s="2">
        <v>238791</v>
      </c>
      <c r="J278" s="3">
        <v>44881</v>
      </c>
      <c r="K278" t="s">
        <v>71</v>
      </c>
      <c r="L278" t="s">
        <v>72</v>
      </c>
      <c r="M278">
        <v>2022</v>
      </c>
      <c r="N278" t="s">
        <v>171</v>
      </c>
      <c r="O278" t="s">
        <v>59</v>
      </c>
      <c r="P278" t="s">
        <v>60</v>
      </c>
    </row>
    <row r="279" spans="1:16" x14ac:dyDescent="0.3">
      <c r="A279" t="s">
        <v>16</v>
      </c>
      <c r="B279" t="s">
        <v>258</v>
      </c>
      <c r="C279" t="s">
        <v>56</v>
      </c>
      <c r="D279" t="s">
        <v>63</v>
      </c>
      <c r="E279" s="2">
        <v>2729</v>
      </c>
      <c r="F279" s="2">
        <v>125</v>
      </c>
      <c r="G279">
        <v>6822.5</v>
      </c>
      <c r="H279" s="2">
        <v>334302.5</v>
      </c>
      <c r="I279" s="2">
        <v>6822.5</v>
      </c>
      <c r="J279" s="3">
        <v>44908</v>
      </c>
      <c r="K279" t="s">
        <v>75</v>
      </c>
      <c r="L279" t="s">
        <v>72</v>
      </c>
      <c r="M279">
        <v>2022</v>
      </c>
      <c r="N279" t="s">
        <v>135</v>
      </c>
      <c r="O279" t="s">
        <v>59</v>
      </c>
      <c r="P279" t="s">
        <v>24</v>
      </c>
    </row>
    <row r="280" spans="1:16" x14ac:dyDescent="0.3">
      <c r="A280" t="s">
        <v>33</v>
      </c>
      <c r="B280" t="s">
        <v>280</v>
      </c>
      <c r="C280" t="s">
        <v>90</v>
      </c>
      <c r="D280" t="s">
        <v>63</v>
      </c>
      <c r="E280" s="2">
        <v>259</v>
      </c>
      <c r="F280" s="2">
        <v>300</v>
      </c>
      <c r="G280">
        <v>1554</v>
      </c>
      <c r="H280" s="2">
        <v>76146</v>
      </c>
      <c r="I280" s="2">
        <v>11396</v>
      </c>
      <c r="J280" s="3">
        <v>44618</v>
      </c>
      <c r="K280" t="s">
        <v>57</v>
      </c>
      <c r="L280" t="s">
        <v>29</v>
      </c>
      <c r="M280">
        <v>2022</v>
      </c>
      <c r="N280" t="s">
        <v>253</v>
      </c>
      <c r="O280" t="s">
        <v>92</v>
      </c>
      <c r="P280" t="s">
        <v>49</v>
      </c>
    </row>
    <row r="281" spans="1:16" x14ac:dyDescent="0.3">
      <c r="A281" t="s">
        <v>33</v>
      </c>
      <c r="B281" t="s">
        <v>281</v>
      </c>
      <c r="C281" t="s">
        <v>90</v>
      </c>
      <c r="D281" t="s">
        <v>63</v>
      </c>
      <c r="E281" s="2">
        <v>1101</v>
      </c>
      <c r="F281" s="2">
        <v>300</v>
      </c>
      <c r="G281">
        <v>6606</v>
      </c>
      <c r="H281" s="2">
        <v>323694</v>
      </c>
      <c r="I281" s="2">
        <v>48444</v>
      </c>
      <c r="J281" s="3">
        <v>44829</v>
      </c>
      <c r="K281" t="s">
        <v>20</v>
      </c>
      <c r="L281" t="s">
        <v>21</v>
      </c>
      <c r="M281">
        <v>2022</v>
      </c>
      <c r="N281" t="s">
        <v>255</v>
      </c>
      <c r="O281" t="s">
        <v>92</v>
      </c>
      <c r="P281" t="s">
        <v>54</v>
      </c>
    </row>
    <row r="282" spans="1:16" x14ac:dyDescent="0.3">
      <c r="A282" t="s">
        <v>16</v>
      </c>
      <c r="B282" t="s">
        <v>202</v>
      </c>
      <c r="C282" t="s">
        <v>90</v>
      </c>
      <c r="D282" t="s">
        <v>63</v>
      </c>
      <c r="E282" s="2">
        <v>2276</v>
      </c>
      <c r="F282" s="2">
        <v>125</v>
      </c>
      <c r="G282">
        <v>5690</v>
      </c>
      <c r="H282" s="2">
        <v>278810</v>
      </c>
      <c r="I282" s="2">
        <v>5690</v>
      </c>
      <c r="J282" s="3">
        <v>44827</v>
      </c>
      <c r="K282" t="s">
        <v>20</v>
      </c>
      <c r="L282" t="s">
        <v>21</v>
      </c>
      <c r="M282">
        <v>2022</v>
      </c>
      <c r="N282" t="s">
        <v>203</v>
      </c>
      <c r="O282" t="s">
        <v>92</v>
      </c>
      <c r="P282" t="s">
        <v>24</v>
      </c>
    </row>
    <row r="283" spans="1:16" x14ac:dyDescent="0.3">
      <c r="A283" t="s">
        <v>37</v>
      </c>
      <c r="B283" t="s">
        <v>185</v>
      </c>
      <c r="C283" t="s">
        <v>90</v>
      </c>
      <c r="D283" t="s">
        <v>63</v>
      </c>
      <c r="E283" s="2">
        <v>1236</v>
      </c>
      <c r="F283" s="2">
        <v>20</v>
      </c>
      <c r="G283">
        <v>494.4</v>
      </c>
      <c r="H283" s="2">
        <v>24225.599999999999</v>
      </c>
      <c r="I283" s="2">
        <v>11865.599999999999</v>
      </c>
      <c r="J283" s="3">
        <v>44230</v>
      </c>
      <c r="K283" t="s">
        <v>57</v>
      </c>
      <c r="L283" t="s">
        <v>29</v>
      </c>
      <c r="M283">
        <v>2022</v>
      </c>
      <c r="N283" t="s">
        <v>186</v>
      </c>
      <c r="O283" t="s">
        <v>92</v>
      </c>
      <c r="P283" t="s">
        <v>60</v>
      </c>
    </row>
    <row r="284" spans="1:16" x14ac:dyDescent="0.3">
      <c r="A284" t="s">
        <v>37</v>
      </c>
      <c r="B284" t="s">
        <v>187</v>
      </c>
      <c r="C284" t="s">
        <v>90</v>
      </c>
      <c r="D284" t="s">
        <v>63</v>
      </c>
      <c r="E284" s="2">
        <v>941</v>
      </c>
      <c r="F284" s="2">
        <v>20</v>
      </c>
      <c r="G284">
        <v>376.4</v>
      </c>
      <c r="H284" s="2">
        <v>18443.599999999999</v>
      </c>
      <c r="I284" s="2">
        <v>9033.5999999999985</v>
      </c>
      <c r="J284" s="3">
        <v>44884</v>
      </c>
      <c r="K284" t="s">
        <v>71</v>
      </c>
      <c r="L284" t="s">
        <v>72</v>
      </c>
      <c r="M284">
        <v>2022</v>
      </c>
      <c r="N284" t="s">
        <v>188</v>
      </c>
      <c r="O284" t="s">
        <v>92</v>
      </c>
      <c r="P284" t="s">
        <v>24</v>
      </c>
    </row>
    <row r="285" spans="1:16" x14ac:dyDescent="0.3">
      <c r="A285" t="s">
        <v>33</v>
      </c>
      <c r="B285" t="s">
        <v>282</v>
      </c>
      <c r="C285" t="s">
        <v>90</v>
      </c>
      <c r="D285" t="s">
        <v>63</v>
      </c>
      <c r="E285" s="2">
        <v>1916</v>
      </c>
      <c r="F285" s="2">
        <v>300</v>
      </c>
      <c r="G285">
        <v>11496</v>
      </c>
      <c r="H285" s="2">
        <v>563304</v>
      </c>
      <c r="I285" s="2">
        <v>84304</v>
      </c>
      <c r="J285" s="3">
        <v>44711</v>
      </c>
      <c r="K285" t="s">
        <v>104</v>
      </c>
      <c r="L285" t="s">
        <v>68</v>
      </c>
      <c r="M285">
        <v>2022</v>
      </c>
      <c r="N285" t="s">
        <v>257</v>
      </c>
      <c r="O285" t="s">
        <v>92</v>
      </c>
      <c r="P285" t="s">
        <v>60</v>
      </c>
    </row>
    <row r="286" spans="1:16" x14ac:dyDescent="0.3">
      <c r="A286" t="s">
        <v>16</v>
      </c>
      <c r="B286" t="s">
        <v>225</v>
      </c>
      <c r="C286" t="s">
        <v>62</v>
      </c>
      <c r="D286" t="s">
        <v>63</v>
      </c>
      <c r="E286" s="2">
        <v>4243.5</v>
      </c>
      <c r="F286" s="2">
        <v>125</v>
      </c>
      <c r="G286">
        <v>15913.125</v>
      </c>
      <c r="H286" s="2">
        <v>514524.375</v>
      </c>
      <c r="I286" s="2">
        <v>5304.375</v>
      </c>
      <c r="J286" s="3">
        <v>44314</v>
      </c>
      <c r="K286" t="s">
        <v>67</v>
      </c>
      <c r="L286" t="s">
        <v>68</v>
      </c>
      <c r="M286">
        <v>2022</v>
      </c>
      <c r="N286" t="s">
        <v>226</v>
      </c>
      <c r="O286" t="s">
        <v>65</v>
      </c>
      <c r="P286" t="s">
        <v>46</v>
      </c>
    </row>
    <row r="287" spans="1:16" x14ac:dyDescent="0.3">
      <c r="A287" t="s">
        <v>37</v>
      </c>
      <c r="B287" t="s">
        <v>154</v>
      </c>
      <c r="C287" t="s">
        <v>62</v>
      </c>
      <c r="D287" t="s">
        <v>63</v>
      </c>
      <c r="E287" s="2">
        <v>2580</v>
      </c>
      <c r="F287" s="2">
        <v>20</v>
      </c>
      <c r="G287">
        <v>1548</v>
      </c>
      <c r="H287" s="2">
        <v>50052</v>
      </c>
      <c r="I287" s="2">
        <v>24252</v>
      </c>
      <c r="J287" s="3">
        <v>44660</v>
      </c>
      <c r="K287" t="s">
        <v>67</v>
      </c>
      <c r="L287" t="s">
        <v>68</v>
      </c>
      <c r="M287">
        <v>2022</v>
      </c>
      <c r="N287" t="s">
        <v>155</v>
      </c>
      <c r="O287" t="s">
        <v>65</v>
      </c>
      <c r="P287" t="s">
        <v>60</v>
      </c>
    </row>
    <row r="288" spans="1:16" x14ac:dyDescent="0.3">
      <c r="A288" t="s">
        <v>33</v>
      </c>
      <c r="B288" t="s">
        <v>95</v>
      </c>
      <c r="C288" t="s">
        <v>62</v>
      </c>
      <c r="D288" t="s">
        <v>63</v>
      </c>
      <c r="E288" s="2">
        <v>689</v>
      </c>
      <c r="F288" s="2">
        <v>300</v>
      </c>
      <c r="G288">
        <v>6201</v>
      </c>
      <c r="H288" s="2">
        <v>200499</v>
      </c>
      <c r="I288" s="2">
        <v>28249</v>
      </c>
      <c r="J288" s="3">
        <v>44857</v>
      </c>
      <c r="K288" t="s">
        <v>85</v>
      </c>
      <c r="L288" t="s">
        <v>72</v>
      </c>
      <c r="M288">
        <v>2022</v>
      </c>
      <c r="N288" t="s">
        <v>96</v>
      </c>
      <c r="O288" t="s">
        <v>65</v>
      </c>
      <c r="P288" t="s">
        <v>41</v>
      </c>
    </row>
    <row r="289" spans="1:16" x14ac:dyDescent="0.3">
      <c r="A289" t="s">
        <v>42</v>
      </c>
      <c r="B289" t="s">
        <v>222</v>
      </c>
      <c r="C289" t="s">
        <v>62</v>
      </c>
      <c r="D289" t="s">
        <v>63</v>
      </c>
      <c r="E289" s="2">
        <v>1947</v>
      </c>
      <c r="F289" s="2">
        <v>12</v>
      </c>
      <c r="G289">
        <v>700.92</v>
      </c>
      <c r="H289" s="2">
        <v>22663.08</v>
      </c>
      <c r="I289" s="2">
        <v>16822.080000000002</v>
      </c>
      <c r="J289" s="3">
        <v>44674</v>
      </c>
      <c r="K289" t="s">
        <v>67</v>
      </c>
      <c r="L289" t="s">
        <v>68</v>
      </c>
      <c r="M289">
        <v>2022</v>
      </c>
      <c r="N289" t="s">
        <v>224</v>
      </c>
      <c r="O289" t="s">
        <v>65</v>
      </c>
      <c r="P289" t="s">
        <v>41</v>
      </c>
    </row>
    <row r="290" spans="1:16" x14ac:dyDescent="0.3">
      <c r="A290" t="s">
        <v>37</v>
      </c>
      <c r="B290" t="s">
        <v>130</v>
      </c>
      <c r="C290" t="s">
        <v>18</v>
      </c>
      <c r="D290" t="s">
        <v>63</v>
      </c>
      <c r="E290" s="2">
        <v>1958</v>
      </c>
      <c r="F290" s="2">
        <v>7</v>
      </c>
      <c r="G290">
        <v>411.18</v>
      </c>
      <c r="H290" s="2">
        <v>13294.82</v>
      </c>
      <c r="I290" s="2">
        <v>3504.8199999999997</v>
      </c>
      <c r="J290" s="3">
        <v>44707</v>
      </c>
      <c r="K290" t="s">
        <v>104</v>
      </c>
      <c r="L290" t="s">
        <v>68</v>
      </c>
      <c r="M290">
        <v>2022</v>
      </c>
      <c r="N290" t="s">
        <v>131</v>
      </c>
      <c r="O290" t="s">
        <v>23</v>
      </c>
      <c r="P290" t="s">
        <v>46</v>
      </c>
    </row>
    <row r="291" spans="1:16" x14ac:dyDescent="0.3">
      <c r="A291" t="s">
        <v>42</v>
      </c>
      <c r="B291" t="s">
        <v>283</v>
      </c>
      <c r="C291" t="s">
        <v>18</v>
      </c>
      <c r="D291" t="s">
        <v>63</v>
      </c>
      <c r="E291" s="2">
        <v>1901</v>
      </c>
      <c r="F291" s="2">
        <v>12</v>
      </c>
      <c r="G291">
        <v>684.36</v>
      </c>
      <c r="H291" s="2">
        <v>22127.64</v>
      </c>
      <c r="I291" s="2">
        <v>16424.64</v>
      </c>
      <c r="J291" s="3">
        <v>44633</v>
      </c>
      <c r="K291" t="s">
        <v>82</v>
      </c>
      <c r="L291" t="s">
        <v>29</v>
      </c>
      <c r="M291">
        <v>2022</v>
      </c>
      <c r="N291" t="s">
        <v>135</v>
      </c>
      <c r="O291" t="s">
        <v>23</v>
      </c>
      <c r="P291" t="s">
        <v>24</v>
      </c>
    </row>
    <row r="292" spans="1:16" x14ac:dyDescent="0.3">
      <c r="A292" t="s">
        <v>37</v>
      </c>
      <c r="B292" t="s">
        <v>176</v>
      </c>
      <c r="C292" t="s">
        <v>18</v>
      </c>
      <c r="D292" t="s">
        <v>63</v>
      </c>
      <c r="E292" s="2">
        <v>544</v>
      </c>
      <c r="F292" s="2">
        <v>7</v>
      </c>
      <c r="G292">
        <v>114.24</v>
      </c>
      <c r="H292" s="2">
        <v>3693.76</v>
      </c>
      <c r="I292" s="2">
        <v>973.76000000000022</v>
      </c>
      <c r="J292" s="3">
        <v>44400</v>
      </c>
      <c r="K292" t="s">
        <v>44</v>
      </c>
      <c r="L292" t="s">
        <v>21</v>
      </c>
      <c r="M292">
        <v>2022</v>
      </c>
      <c r="N292" t="s">
        <v>177</v>
      </c>
      <c r="O292" t="s">
        <v>23</v>
      </c>
      <c r="P292" t="s">
        <v>36</v>
      </c>
    </row>
    <row r="293" spans="1:16" x14ac:dyDescent="0.3">
      <c r="A293" t="s">
        <v>16</v>
      </c>
      <c r="B293" t="s">
        <v>214</v>
      </c>
      <c r="C293" t="s">
        <v>18</v>
      </c>
      <c r="D293" t="s">
        <v>63</v>
      </c>
      <c r="E293" s="2">
        <v>1287</v>
      </c>
      <c r="F293" s="2">
        <v>125</v>
      </c>
      <c r="G293">
        <v>4826.25</v>
      </c>
      <c r="H293" s="2">
        <v>156048.75</v>
      </c>
      <c r="I293" s="2">
        <v>1608.75</v>
      </c>
      <c r="J293" s="3">
        <v>44466</v>
      </c>
      <c r="K293" t="s">
        <v>20</v>
      </c>
      <c r="L293" t="s">
        <v>21</v>
      </c>
      <c r="M293">
        <v>2022</v>
      </c>
      <c r="N293" t="s">
        <v>169</v>
      </c>
      <c r="O293" t="s">
        <v>23</v>
      </c>
      <c r="P293" t="s">
        <v>54</v>
      </c>
    </row>
    <row r="294" spans="1:16" x14ac:dyDescent="0.3">
      <c r="A294" t="s">
        <v>16</v>
      </c>
      <c r="B294" t="s">
        <v>193</v>
      </c>
      <c r="C294" t="s">
        <v>18</v>
      </c>
      <c r="D294" t="s">
        <v>63</v>
      </c>
      <c r="E294" s="2">
        <v>1706</v>
      </c>
      <c r="F294" s="2">
        <v>125</v>
      </c>
      <c r="G294">
        <v>6397.5</v>
      </c>
      <c r="H294" s="2">
        <v>206852.5</v>
      </c>
      <c r="I294" s="2">
        <v>2132.5</v>
      </c>
      <c r="J294" s="3">
        <v>44331</v>
      </c>
      <c r="K294" t="s">
        <v>104</v>
      </c>
      <c r="L294" t="s">
        <v>68</v>
      </c>
      <c r="M294">
        <v>2022</v>
      </c>
      <c r="N294" t="s">
        <v>194</v>
      </c>
      <c r="O294" t="s">
        <v>23</v>
      </c>
      <c r="P294" t="s">
        <v>41</v>
      </c>
    </row>
    <row r="295" spans="1:16" x14ac:dyDescent="0.3">
      <c r="A295" t="s">
        <v>33</v>
      </c>
      <c r="B295" t="s">
        <v>275</v>
      </c>
      <c r="C295" t="s">
        <v>27</v>
      </c>
      <c r="D295" t="s">
        <v>63</v>
      </c>
      <c r="E295" s="2">
        <v>2434.5</v>
      </c>
      <c r="F295" s="2">
        <v>300</v>
      </c>
      <c r="G295">
        <v>21910.5</v>
      </c>
      <c r="H295" s="2">
        <v>708439.5</v>
      </c>
      <c r="I295" s="2">
        <v>99814.5</v>
      </c>
      <c r="J295" s="3">
        <v>44706</v>
      </c>
      <c r="K295" t="s">
        <v>104</v>
      </c>
      <c r="L295" t="s">
        <v>68</v>
      </c>
      <c r="M295">
        <v>2022</v>
      </c>
      <c r="N295" t="s">
        <v>203</v>
      </c>
      <c r="O295" t="s">
        <v>31</v>
      </c>
      <c r="P295" t="s">
        <v>24</v>
      </c>
    </row>
    <row r="296" spans="1:16" x14ac:dyDescent="0.3">
      <c r="A296" t="s">
        <v>16</v>
      </c>
      <c r="B296" t="s">
        <v>276</v>
      </c>
      <c r="C296" t="s">
        <v>27</v>
      </c>
      <c r="D296" t="s">
        <v>63</v>
      </c>
      <c r="E296" s="2">
        <v>1774</v>
      </c>
      <c r="F296" s="2">
        <v>125</v>
      </c>
      <c r="G296">
        <v>6652.5</v>
      </c>
      <c r="H296" s="2">
        <v>215097.5</v>
      </c>
      <c r="I296" s="2">
        <v>2217.5</v>
      </c>
      <c r="J296" s="3">
        <v>44837</v>
      </c>
      <c r="K296" t="s">
        <v>85</v>
      </c>
      <c r="L296" t="s">
        <v>72</v>
      </c>
      <c r="M296">
        <v>2022</v>
      </c>
      <c r="N296" t="s">
        <v>205</v>
      </c>
      <c r="O296" t="s">
        <v>31</v>
      </c>
      <c r="P296" t="s">
        <v>32</v>
      </c>
    </row>
    <row r="297" spans="1:16" x14ac:dyDescent="0.3">
      <c r="A297" t="s">
        <v>42</v>
      </c>
      <c r="B297" t="s">
        <v>106</v>
      </c>
      <c r="C297" t="s">
        <v>27</v>
      </c>
      <c r="D297" t="s">
        <v>63</v>
      </c>
      <c r="E297" s="2">
        <v>1901</v>
      </c>
      <c r="F297" s="2">
        <v>12</v>
      </c>
      <c r="G297">
        <v>684.36</v>
      </c>
      <c r="H297" s="2">
        <v>22127.64</v>
      </c>
      <c r="I297" s="2">
        <v>16424.64</v>
      </c>
      <c r="J297" s="3">
        <v>44210</v>
      </c>
      <c r="K297" t="s">
        <v>28</v>
      </c>
      <c r="L297" t="s">
        <v>29</v>
      </c>
      <c r="M297">
        <v>2022</v>
      </c>
      <c r="N297" t="s">
        <v>107</v>
      </c>
      <c r="O297" t="s">
        <v>31</v>
      </c>
      <c r="P297" t="s">
        <v>24</v>
      </c>
    </row>
    <row r="298" spans="1:16" x14ac:dyDescent="0.3">
      <c r="A298" t="s">
        <v>33</v>
      </c>
      <c r="B298" t="s">
        <v>195</v>
      </c>
      <c r="C298" t="s">
        <v>27</v>
      </c>
      <c r="D298" t="s">
        <v>63</v>
      </c>
      <c r="E298" s="2">
        <v>689</v>
      </c>
      <c r="F298" s="2">
        <v>300</v>
      </c>
      <c r="G298">
        <v>6201</v>
      </c>
      <c r="H298" s="2">
        <v>200499</v>
      </c>
      <c r="I298" s="2">
        <v>28249</v>
      </c>
      <c r="J298" s="3">
        <v>44544</v>
      </c>
      <c r="K298" t="s">
        <v>75</v>
      </c>
      <c r="L298" t="s">
        <v>72</v>
      </c>
      <c r="M298">
        <v>2022</v>
      </c>
      <c r="N298" t="s">
        <v>173</v>
      </c>
      <c r="O298" t="s">
        <v>31</v>
      </c>
      <c r="P298" t="s">
        <v>46</v>
      </c>
    </row>
    <row r="299" spans="1:16" x14ac:dyDescent="0.3">
      <c r="A299" t="s">
        <v>16</v>
      </c>
      <c r="B299" t="s">
        <v>101</v>
      </c>
      <c r="C299" t="s">
        <v>27</v>
      </c>
      <c r="D299" t="s">
        <v>63</v>
      </c>
      <c r="E299" s="2">
        <v>1570</v>
      </c>
      <c r="F299" s="2">
        <v>125</v>
      </c>
      <c r="G299">
        <v>5887.5</v>
      </c>
      <c r="H299" s="2">
        <v>190362.5</v>
      </c>
      <c r="I299" s="2">
        <v>1962.5</v>
      </c>
      <c r="J299" s="3">
        <v>44726</v>
      </c>
      <c r="K299" t="s">
        <v>146</v>
      </c>
      <c r="L299" t="s">
        <v>68</v>
      </c>
      <c r="M299">
        <v>2022</v>
      </c>
      <c r="N299" t="s">
        <v>102</v>
      </c>
      <c r="O299" t="s">
        <v>31</v>
      </c>
      <c r="P299" t="s">
        <v>54</v>
      </c>
    </row>
    <row r="300" spans="1:16" x14ac:dyDescent="0.3">
      <c r="A300" t="s">
        <v>42</v>
      </c>
      <c r="B300" t="s">
        <v>43</v>
      </c>
      <c r="C300" t="s">
        <v>27</v>
      </c>
      <c r="D300" t="s">
        <v>63</v>
      </c>
      <c r="E300" s="2">
        <v>1369.5</v>
      </c>
      <c r="F300" s="2">
        <v>12</v>
      </c>
      <c r="G300">
        <v>493.02</v>
      </c>
      <c r="H300" s="2">
        <v>15940.98</v>
      </c>
      <c r="I300" s="2">
        <v>11832.48</v>
      </c>
      <c r="J300" s="3">
        <v>44353</v>
      </c>
      <c r="K300" t="s">
        <v>146</v>
      </c>
      <c r="L300" t="s">
        <v>68</v>
      </c>
      <c r="M300">
        <v>2022</v>
      </c>
      <c r="N300" t="s">
        <v>45</v>
      </c>
      <c r="O300" t="s">
        <v>31</v>
      </c>
      <c r="P300" t="s">
        <v>46</v>
      </c>
    </row>
    <row r="301" spans="1:16" x14ac:dyDescent="0.3">
      <c r="A301" t="s">
        <v>16</v>
      </c>
      <c r="B301" t="s">
        <v>276</v>
      </c>
      <c r="C301" t="s">
        <v>27</v>
      </c>
      <c r="D301" t="s">
        <v>63</v>
      </c>
      <c r="E301" s="2">
        <v>2009</v>
      </c>
      <c r="F301" s="2">
        <v>125</v>
      </c>
      <c r="G301">
        <v>7533.75</v>
      </c>
      <c r="H301" s="2">
        <v>243591.25</v>
      </c>
      <c r="I301" s="2">
        <v>2511.25</v>
      </c>
      <c r="J301" s="3">
        <v>44203</v>
      </c>
      <c r="K301" t="s">
        <v>28</v>
      </c>
      <c r="L301" t="s">
        <v>29</v>
      </c>
      <c r="M301">
        <v>2022</v>
      </c>
      <c r="N301" t="s">
        <v>205</v>
      </c>
      <c r="O301" t="s">
        <v>31</v>
      </c>
      <c r="P301" t="s">
        <v>32</v>
      </c>
    </row>
    <row r="302" spans="1:16" x14ac:dyDescent="0.3">
      <c r="A302" t="s">
        <v>16</v>
      </c>
      <c r="B302" t="s">
        <v>160</v>
      </c>
      <c r="C302" t="s">
        <v>27</v>
      </c>
      <c r="D302" t="s">
        <v>63</v>
      </c>
      <c r="E302" s="2">
        <v>1287</v>
      </c>
      <c r="F302" s="2">
        <v>125</v>
      </c>
      <c r="G302">
        <v>4826.25</v>
      </c>
      <c r="H302" s="2">
        <v>156048.75</v>
      </c>
      <c r="I302" s="2">
        <v>1608.75</v>
      </c>
      <c r="J302" s="3">
        <v>44347</v>
      </c>
      <c r="K302" t="s">
        <v>104</v>
      </c>
      <c r="L302" t="s">
        <v>68</v>
      </c>
      <c r="M302">
        <v>2022</v>
      </c>
      <c r="N302" t="s">
        <v>161</v>
      </c>
      <c r="O302" t="s">
        <v>31</v>
      </c>
      <c r="P302" t="s">
        <v>36</v>
      </c>
    </row>
    <row r="303" spans="1:16" x14ac:dyDescent="0.3">
      <c r="A303" t="s">
        <v>16</v>
      </c>
      <c r="B303" t="s">
        <v>101</v>
      </c>
      <c r="C303" t="s">
        <v>27</v>
      </c>
      <c r="D303" t="s">
        <v>63</v>
      </c>
      <c r="E303" s="2">
        <v>1706</v>
      </c>
      <c r="F303" s="2">
        <v>125</v>
      </c>
      <c r="G303">
        <v>6397.5</v>
      </c>
      <c r="H303" s="2">
        <v>206852.5</v>
      </c>
      <c r="I303" s="2">
        <v>2132.5</v>
      </c>
      <c r="J303" s="3">
        <v>44759</v>
      </c>
      <c r="K303" t="s">
        <v>44</v>
      </c>
      <c r="L303" t="s">
        <v>21</v>
      </c>
      <c r="M303">
        <v>2022</v>
      </c>
      <c r="N303" t="s">
        <v>102</v>
      </c>
      <c r="O303" t="s">
        <v>31</v>
      </c>
      <c r="P303" t="s">
        <v>54</v>
      </c>
    </row>
    <row r="304" spans="1:16" x14ac:dyDescent="0.3">
      <c r="A304" t="s">
        <v>16</v>
      </c>
      <c r="B304" t="s">
        <v>50</v>
      </c>
      <c r="C304" t="s">
        <v>51</v>
      </c>
      <c r="D304" t="s">
        <v>63</v>
      </c>
      <c r="E304" s="2">
        <v>2009</v>
      </c>
      <c r="F304" s="2">
        <v>125</v>
      </c>
      <c r="G304">
        <v>7533.75</v>
      </c>
      <c r="H304" s="2">
        <v>243591.25</v>
      </c>
      <c r="I304" s="2">
        <v>2511.25</v>
      </c>
      <c r="J304" s="3">
        <v>44603</v>
      </c>
      <c r="K304" t="s">
        <v>57</v>
      </c>
      <c r="L304" t="s">
        <v>29</v>
      </c>
      <c r="M304">
        <v>2022</v>
      </c>
      <c r="N304" t="s">
        <v>52</v>
      </c>
      <c r="O304" t="s">
        <v>53</v>
      </c>
      <c r="P304" t="s">
        <v>54</v>
      </c>
    </row>
    <row r="305" spans="1:16" x14ac:dyDescent="0.3">
      <c r="A305" t="s">
        <v>33</v>
      </c>
      <c r="B305" t="s">
        <v>206</v>
      </c>
      <c r="C305" t="s">
        <v>56</v>
      </c>
      <c r="D305" t="s">
        <v>63</v>
      </c>
      <c r="E305" s="2">
        <v>2844</v>
      </c>
      <c r="F305" s="2">
        <v>300</v>
      </c>
      <c r="G305">
        <v>25596</v>
      </c>
      <c r="H305" s="2">
        <v>827604</v>
      </c>
      <c r="I305" s="2">
        <v>116604</v>
      </c>
      <c r="J305" s="3">
        <v>44675</v>
      </c>
      <c r="K305" t="s">
        <v>67</v>
      </c>
      <c r="L305" t="s">
        <v>68</v>
      </c>
      <c r="M305">
        <v>2022</v>
      </c>
      <c r="N305" t="s">
        <v>207</v>
      </c>
      <c r="O305" t="s">
        <v>59</v>
      </c>
      <c r="P305" t="s">
        <v>36</v>
      </c>
    </row>
    <row r="306" spans="1:16" x14ac:dyDescent="0.3">
      <c r="A306" t="s">
        <v>42</v>
      </c>
      <c r="B306" t="s">
        <v>231</v>
      </c>
      <c r="C306" t="s">
        <v>56</v>
      </c>
      <c r="D306" t="s">
        <v>63</v>
      </c>
      <c r="E306" s="2">
        <v>1916</v>
      </c>
      <c r="F306" s="2">
        <v>12</v>
      </c>
      <c r="G306">
        <v>689.76</v>
      </c>
      <c r="H306" s="2">
        <v>22302.240000000002</v>
      </c>
      <c r="I306" s="2">
        <v>16554.240000000002</v>
      </c>
      <c r="J306" s="3">
        <v>44462</v>
      </c>
      <c r="K306" t="s">
        <v>20</v>
      </c>
      <c r="L306" t="s">
        <v>21</v>
      </c>
      <c r="M306">
        <v>2022</v>
      </c>
      <c r="N306" t="s">
        <v>232</v>
      </c>
      <c r="O306" t="s">
        <v>59</v>
      </c>
      <c r="P306" t="s">
        <v>24</v>
      </c>
    </row>
    <row r="307" spans="1:16" x14ac:dyDescent="0.3">
      <c r="A307" t="s">
        <v>16</v>
      </c>
      <c r="B307" t="s">
        <v>284</v>
      </c>
      <c r="C307" t="s">
        <v>56</v>
      </c>
      <c r="D307" t="s">
        <v>63</v>
      </c>
      <c r="E307" s="2">
        <v>1570</v>
      </c>
      <c r="F307" s="2">
        <v>125</v>
      </c>
      <c r="G307">
        <v>5887.5</v>
      </c>
      <c r="H307" s="2">
        <v>190362.5</v>
      </c>
      <c r="I307" s="2">
        <v>1962.5</v>
      </c>
      <c r="J307" s="3">
        <v>44263</v>
      </c>
      <c r="K307" t="s">
        <v>82</v>
      </c>
      <c r="L307" t="s">
        <v>29</v>
      </c>
      <c r="M307">
        <v>2022</v>
      </c>
      <c r="N307" t="s">
        <v>175</v>
      </c>
      <c r="O307" t="s">
        <v>59</v>
      </c>
      <c r="P307" t="s">
        <v>32</v>
      </c>
    </row>
    <row r="308" spans="1:16" x14ac:dyDescent="0.3">
      <c r="A308" t="s">
        <v>33</v>
      </c>
      <c r="B308" t="s">
        <v>183</v>
      </c>
      <c r="C308" t="s">
        <v>56</v>
      </c>
      <c r="D308" t="s">
        <v>63</v>
      </c>
      <c r="E308" s="2">
        <v>1874</v>
      </c>
      <c r="F308" s="2">
        <v>300</v>
      </c>
      <c r="G308">
        <v>16866</v>
      </c>
      <c r="H308" s="2">
        <v>545334</v>
      </c>
      <c r="I308" s="2">
        <v>76834</v>
      </c>
      <c r="J308" s="3">
        <v>44297</v>
      </c>
      <c r="K308" t="s">
        <v>67</v>
      </c>
      <c r="L308" t="s">
        <v>68</v>
      </c>
      <c r="M308">
        <v>2022</v>
      </c>
      <c r="N308" t="s">
        <v>184</v>
      </c>
      <c r="O308" t="s">
        <v>59</v>
      </c>
      <c r="P308" t="s">
        <v>54</v>
      </c>
    </row>
    <row r="309" spans="1:16" x14ac:dyDescent="0.3">
      <c r="A309" t="s">
        <v>37</v>
      </c>
      <c r="B309" t="s">
        <v>124</v>
      </c>
      <c r="C309" t="s">
        <v>56</v>
      </c>
      <c r="D309" t="s">
        <v>63</v>
      </c>
      <c r="E309" s="2">
        <v>1642</v>
      </c>
      <c r="F309" s="2">
        <v>350</v>
      </c>
      <c r="G309">
        <v>17241</v>
      </c>
      <c r="H309" s="2">
        <v>557459</v>
      </c>
      <c r="I309" s="2">
        <v>130539</v>
      </c>
      <c r="J309" s="3">
        <v>44551</v>
      </c>
      <c r="K309" t="s">
        <v>75</v>
      </c>
      <c r="L309" t="s">
        <v>72</v>
      </c>
      <c r="M309">
        <v>2022</v>
      </c>
      <c r="N309" t="s">
        <v>125</v>
      </c>
      <c r="O309" t="s">
        <v>59</v>
      </c>
      <c r="P309" t="s">
        <v>32</v>
      </c>
    </row>
    <row r="310" spans="1:16" x14ac:dyDescent="0.3">
      <c r="A310" t="s">
        <v>37</v>
      </c>
      <c r="B310" t="s">
        <v>140</v>
      </c>
      <c r="C310" t="s">
        <v>62</v>
      </c>
      <c r="D310" t="s">
        <v>63</v>
      </c>
      <c r="E310" s="2">
        <v>831</v>
      </c>
      <c r="F310" s="2">
        <v>20</v>
      </c>
      <c r="G310">
        <v>498.6</v>
      </c>
      <c r="H310" s="2">
        <v>16121.4</v>
      </c>
      <c r="I310" s="2">
        <v>7811.4</v>
      </c>
      <c r="J310" s="3">
        <v>44550</v>
      </c>
      <c r="K310" t="s">
        <v>75</v>
      </c>
      <c r="L310" t="s">
        <v>72</v>
      </c>
      <c r="M310">
        <v>2022</v>
      </c>
      <c r="N310" t="s">
        <v>141</v>
      </c>
      <c r="O310" t="s">
        <v>65</v>
      </c>
      <c r="P310" t="s">
        <v>32</v>
      </c>
    </row>
    <row r="311" spans="1:16" x14ac:dyDescent="0.3">
      <c r="A311" t="s">
        <v>37</v>
      </c>
      <c r="B311" t="s">
        <v>84</v>
      </c>
      <c r="C311" t="s">
        <v>51</v>
      </c>
      <c r="D311" t="s">
        <v>63</v>
      </c>
      <c r="E311" s="2">
        <v>3850.5</v>
      </c>
      <c r="F311" s="2">
        <v>20</v>
      </c>
      <c r="G311">
        <v>2310.3000000000002</v>
      </c>
      <c r="H311" s="2">
        <v>74699.700000000012</v>
      </c>
      <c r="I311" s="2">
        <v>36194.700000000004</v>
      </c>
      <c r="J311" s="3">
        <v>44532</v>
      </c>
      <c r="K311" t="s">
        <v>75</v>
      </c>
      <c r="L311" t="s">
        <v>72</v>
      </c>
      <c r="M311">
        <v>2022</v>
      </c>
      <c r="N311" t="s">
        <v>86</v>
      </c>
      <c r="O311" t="s">
        <v>53</v>
      </c>
      <c r="P311" t="s">
        <v>60</v>
      </c>
    </row>
    <row r="312" spans="1:16" x14ac:dyDescent="0.3">
      <c r="A312" t="s">
        <v>42</v>
      </c>
      <c r="B312" t="s">
        <v>191</v>
      </c>
      <c r="C312" t="s">
        <v>56</v>
      </c>
      <c r="D312" t="s">
        <v>63</v>
      </c>
      <c r="E312" s="2">
        <v>2479</v>
      </c>
      <c r="F312" s="2">
        <v>12</v>
      </c>
      <c r="G312">
        <v>892.44</v>
      </c>
      <c r="H312" s="2">
        <v>28855.56</v>
      </c>
      <c r="I312" s="2">
        <v>21418.560000000001</v>
      </c>
      <c r="J312" s="3">
        <v>44909</v>
      </c>
      <c r="K312" t="s">
        <v>75</v>
      </c>
      <c r="L312" t="s">
        <v>72</v>
      </c>
      <c r="M312">
        <v>2022</v>
      </c>
      <c r="N312" t="s">
        <v>192</v>
      </c>
      <c r="O312" t="s">
        <v>59</v>
      </c>
      <c r="P312" t="s">
        <v>36</v>
      </c>
    </row>
    <row r="313" spans="1:16" x14ac:dyDescent="0.3">
      <c r="A313" t="s">
        <v>25</v>
      </c>
      <c r="B313" t="s">
        <v>266</v>
      </c>
      <c r="C313" t="s">
        <v>18</v>
      </c>
      <c r="D313" t="s">
        <v>63</v>
      </c>
      <c r="E313" s="2">
        <v>2031</v>
      </c>
      <c r="F313" s="2">
        <v>15</v>
      </c>
      <c r="G313">
        <v>1218.5999999999999</v>
      </c>
      <c r="H313" s="2">
        <v>29246.400000000001</v>
      </c>
      <c r="I313" s="2">
        <v>8936.4000000000015</v>
      </c>
      <c r="J313" s="3">
        <v>44672</v>
      </c>
      <c r="K313" t="s">
        <v>67</v>
      </c>
      <c r="L313" t="s">
        <v>68</v>
      </c>
      <c r="M313">
        <v>2022</v>
      </c>
      <c r="N313" t="s">
        <v>230</v>
      </c>
      <c r="O313" t="s">
        <v>23</v>
      </c>
      <c r="P313" t="s">
        <v>60</v>
      </c>
    </row>
    <row r="314" spans="1:16" x14ac:dyDescent="0.3">
      <c r="A314" t="s">
        <v>25</v>
      </c>
      <c r="B314" t="s">
        <v>144</v>
      </c>
      <c r="C314" t="s">
        <v>27</v>
      </c>
      <c r="D314" t="s">
        <v>63</v>
      </c>
      <c r="E314" s="2">
        <v>2031</v>
      </c>
      <c r="F314" s="2">
        <v>15</v>
      </c>
      <c r="G314">
        <v>1218.5999999999999</v>
      </c>
      <c r="H314" s="2">
        <v>29246.400000000001</v>
      </c>
      <c r="I314" s="2">
        <v>8936.4000000000015</v>
      </c>
      <c r="J314" s="3">
        <v>44918</v>
      </c>
      <c r="K314" t="s">
        <v>75</v>
      </c>
      <c r="L314" t="s">
        <v>72</v>
      </c>
      <c r="M314">
        <v>2022</v>
      </c>
      <c r="N314" t="s">
        <v>145</v>
      </c>
      <c r="O314" t="s">
        <v>31</v>
      </c>
      <c r="P314" t="s">
        <v>41</v>
      </c>
    </row>
    <row r="315" spans="1:16" x14ac:dyDescent="0.3">
      <c r="A315" t="s">
        <v>33</v>
      </c>
      <c r="B315" t="s">
        <v>95</v>
      </c>
      <c r="C315" t="s">
        <v>62</v>
      </c>
      <c r="D315" t="s">
        <v>63</v>
      </c>
      <c r="E315" s="2">
        <v>2021</v>
      </c>
      <c r="F315" s="2">
        <v>300</v>
      </c>
      <c r="G315">
        <v>24252</v>
      </c>
      <c r="H315" s="2">
        <v>582048</v>
      </c>
      <c r="I315" s="2">
        <v>76798</v>
      </c>
      <c r="J315" s="3">
        <v>44445</v>
      </c>
      <c r="K315" t="s">
        <v>20</v>
      </c>
      <c r="L315" t="s">
        <v>21</v>
      </c>
      <c r="M315">
        <v>2022</v>
      </c>
      <c r="N315" t="s">
        <v>96</v>
      </c>
      <c r="O315" t="s">
        <v>65</v>
      </c>
      <c r="P315" t="s">
        <v>41</v>
      </c>
    </row>
    <row r="316" spans="1:16" x14ac:dyDescent="0.3">
      <c r="A316" t="s">
        <v>37</v>
      </c>
      <c r="B316" t="s">
        <v>172</v>
      </c>
      <c r="C316" t="s">
        <v>62</v>
      </c>
      <c r="D316" t="s">
        <v>63</v>
      </c>
      <c r="E316" s="2">
        <v>274</v>
      </c>
      <c r="F316" s="2">
        <v>350</v>
      </c>
      <c r="G316">
        <v>3836</v>
      </c>
      <c r="H316" s="2">
        <v>92064</v>
      </c>
      <c r="I316" s="2">
        <v>20824</v>
      </c>
      <c r="J316" s="3">
        <v>44721</v>
      </c>
      <c r="K316" t="s">
        <v>146</v>
      </c>
      <c r="L316" t="s">
        <v>68</v>
      </c>
      <c r="M316">
        <v>2022</v>
      </c>
      <c r="N316" t="s">
        <v>173</v>
      </c>
      <c r="O316" t="s">
        <v>65</v>
      </c>
      <c r="P316" t="s">
        <v>24</v>
      </c>
    </row>
    <row r="317" spans="1:16" x14ac:dyDescent="0.3">
      <c r="A317" t="s">
        <v>25</v>
      </c>
      <c r="B317" t="s">
        <v>285</v>
      </c>
      <c r="C317" t="s">
        <v>18</v>
      </c>
      <c r="D317" t="s">
        <v>63</v>
      </c>
      <c r="E317" s="2">
        <v>1967</v>
      </c>
      <c r="F317" s="2">
        <v>15</v>
      </c>
      <c r="G317">
        <v>1180.2</v>
      </c>
      <c r="H317" s="2">
        <v>28324.799999999999</v>
      </c>
      <c r="I317" s="2">
        <v>8654.7999999999993</v>
      </c>
      <c r="J317" s="3">
        <v>44893</v>
      </c>
      <c r="K317" t="s">
        <v>71</v>
      </c>
      <c r="L317" t="s">
        <v>72</v>
      </c>
      <c r="M317">
        <v>2022</v>
      </c>
      <c r="N317" t="s">
        <v>261</v>
      </c>
      <c r="O317" t="s">
        <v>23</v>
      </c>
      <c r="P317" t="s">
        <v>36</v>
      </c>
    </row>
    <row r="318" spans="1:16" x14ac:dyDescent="0.3">
      <c r="A318" t="s">
        <v>33</v>
      </c>
      <c r="B318" t="s">
        <v>215</v>
      </c>
      <c r="C318" t="s">
        <v>18</v>
      </c>
      <c r="D318" t="s">
        <v>63</v>
      </c>
      <c r="E318" s="2">
        <v>1859</v>
      </c>
      <c r="F318" s="2">
        <v>300</v>
      </c>
      <c r="G318">
        <v>22308</v>
      </c>
      <c r="H318" s="2">
        <v>535392</v>
      </c>
      <c r="I318" s="2">
        <v>70642</v>
      </c>
      <c r="J318" s="3">
        <v>44701</v>
      </c>
      <c r="K318" t="s">
        <v>104</v>
      </c>
      <c r="L318" t="s">
        <v>68</v>
      </c>
      <c r="M318">
        <v>2022</v>
      </c>
      <c r="N318" t="s">
        <v>194</v>
      </c>
      <c r="O318" t="s">
        <v>23</v>
      </c>
      <c r="P318" t="s">
        <v>60</v>
      </c>
    </row>
    <row r="319" spans="1:16" x14ac:dyDescent="0.3">
      <c r="A319" t="s">
        <v>33</v>
      </c>
      <c r="B319" t="s">
        <v>215</v>
      </c>
      <c r="C319" t="s">
        <v>18</v>
      </c>
      <c r="D319" t="s">
        <v>63</v>
      </c>
      <c r="E319" s="2">
        <v>2021</v>
      </c>
      <c r="F319" s="2">
        <v>300</v>
      </c>
      <c r="G319">
        <v>24252</v>
      </c>
      <c r="H319" s="2">
        <v>582048</v>
      </c>
      <c r="I319" s="2">
        <v>76798</v>
      </c>
      <c r="J319" s="3">
        <v>44718</v>
      </c>
      <c r="K319" t="s">
        <v>146</v>
      </c>
      <c r="L319" t="s">
        <v>68</v>
      </c>
      <c r="M319">
        <v>2022</v>
      </c>
      <c r="N319" t="s">
        <v>194</v>
      </c>
      <c r="O319" t="s">
        <v>23</v>
      </c>
      <c r="P319" t="s">
        <v>60</v>
      </c>
    </row>
    <row r="320" spans="1:16" x14ac:dyDescent="0.3">
      <c r="A320" t="s">
        <v>16</v>
      </c>
      <c r="B320" t="s">
        <v>99</v>
      </c>
      <c r="C320" t="s">
        <v>18</v>
      </c>
      <c r="D320" t="s">
        <v>63</v>
      </c>
      <c r="E320" s="2">
        <v>1138</v>
      </c>
      <c r="F320" s="2">
        <v>125</v>
      </c>
      <c r="G320">
        <v>5690</v>
      </c>
      <c r="H320" s="2">
        <v>136560</v>
      </c>
      <c r="I320" s="2">
        <v>0</v>
      </c>
      <c r="J320" s="3">
        <v>44869</v>
      </c>
      <c r="K320" t="s">
        <v>71</v>
      </c>
      <c r="L320" t="s">
        <v>72</v>
      </c>
      <c r="M320">
        <v>2022</v>
      </c>
      <c r="N320" t="s">
        <v>100</v>
      </c>
      <c r="O320" t="s">
        <v>23</v>
      </c>
      <c r="P320" t="s">
        <v>49</v>
      </c>
    </row>
    <row r="321" spans="1:16" x14ac:dyDescent="0.3">
      <c r="A321" t="s">
        <v>37</v>
      </c>
      <c r="B321" t="s">
        <v>38</v>
      </c>
      <c r="C321" t="s">
        <v>27</v>
      </c>
      <c r="D321" t="s">
        <v>63</v>
      </c>
      <c r="E321" s="2">
        <v>4251</v>
      </c>
      <c r="F321" s="2">
        <v>7</v>
      </c>
      <c r="G321">
        <v>1190.28</v>
      </c>
      <c r="H321" s="2">
        <v>28566.720000000001</v>
      </c>
      <c r="I321" s="2">
        <v>7311.7199999999993</v>
      </c>
      <c r="J321" s="3">
        <v>44321</v>
      </c>
      <c r="K321" t="s">
        <v>104</v>
      </c>
      <c r="L321" t="s">
        <v>68</v>
      </c>
      <c r="M321">
        <v>2022</v>
      </c>
      <c r="N321" t="s">
        <v>40</v>
      </c>
      <c r="O321" t="s">
        <v>31</v>
      </c>
      <c r="P321" t="s">
        <v>41</v>
      </c>
    </row>
    <row r="322" spans="1:16" x14ac:dyDescent="0.3">
      <c r="A322" t="s">
        <v>16</v>
      </c>
      <c r="B322" t="s">
        <v>101</v>
      </c>
      <c r="C322" t="s">
        <v>27</v>
      </c>
      <c r="D322" t="s">
        <v>63</v>
      </c>
      <c r="E322" s="2">
        <v>795</v>
      </c>
      <c r="F322" s="2">
        <v>125</v>
      </c>
      <c r="G322">
        <v>3975</v>
      </c>
      <c r="H322" s="2">
        <v>95400</v>
      </c>
      <c r="I322" s="2">
        <v>0</v>
      </c>
      <c r="J322" s="3">
        <v>44874</v>
      </c>
      <c r="K322" t="s">
        <v>71</v>
      </c>
      <c r="L322" t="s">
        <v>72</v>
      </c>
      <c r="M322">
        <v>2022</v>
      </c>
      <c r="N322" t="s">
        <v>102</v>
      </c>
      <c r="O322" t="s">
        <v>31</v>
      </c>
      <c r="P322" t="s">
        <v>54</v>
      </c>
    </row>
    <row r="323" spans="1:16" x14ac:dyDescent="0.3">
      <c r="A323" t="s">
        <v>33</v>
      </c>
      <c r="B323" t="s">
        <v>195</v>
      </c>
      <c r="C323" t="s">
        <v>27</v>
      </c>
      <c r="D323" t="s">
        <v>63</v>
      </c>
      <c r="E323" s="2">
        <v>1414.5</v>
      </c>
      <c r="F323" s="2">
        <v>300</v>
      </c>
      <c r="G323">
        <v>16974</v>
      </c>
      <c r="H323" s="2">
        <v>407376</v>
      </c>
      <c r="I323" s="2">
        <v>53751</v>
      </c>
      <c r="J323" s="3">
        <v>44251</v>
      </c>
      <c r="K323" t="s">
        <v>57</v>
      </c>
      <c r="L323" t="s">
        <v>29</v>
      </c>
      <c r="M323">
        <v>2022</v>
      </c>
      <c r="N323" t="s">
        <v>173</v>
      </c>
      <c r="O323" t="s">
        <v>31</v>
      </c>
      <c r="P323" t="s">
        <v>46</v>
      </c>
    </row>
    <row r="324" spans="1:16" x14ac:dyDescent="0.3">
      <c r="A324" t="s">
        <v>33</v>
      </c>
      <c r="B324" t="s">
        <v>270</v>
      </c>
      <c r="C324" t="s">
        <v>27</v>
      </c>
      <c r="D324" t="s">
        <v>63</v>
      </c>
      <c r="E324" s="2">
        <v>2918</v>
      </c>
      <c r="F324" s="2">
        <v>300</v>
      </c>
      <c r="G324">
        <v>35016</v>
      </c>
      <c r="H324" s="2">
        <v>840384</v>
      </c>
      <c r="I324" s="2">
        <v>110884</v>
      </c>
      <c r="J324" s="3">
        <v>44439</v>
      </c>
      <c r="K324" t="s">
        <v>39</v>
      </c>
      <c r="L324" t="s">
        <v>21</v>
      </c>
      <c r="M324">
        <v>2022</v>
      </c>
      <c r="N324" t="s">
        <v>238</v>
      </c>
      <c r="O324" t="s">
        <v>31</v>
      </c>
      <c r="P324" t="s">
        <v>41</v>
      </c>
    </row>
    <row r="325" spans="1:16" x14ac:dyDescent="0.3">
      <c r="A325" t="s">
        <v>37</v>
      </c>
      <c r="B325" t="s">
        <v>110</v>
      </c>
      <c r="C325" t="s">
        <v>27</v>
      </c>
      <c r="D325" t="s">
        <v>63</v>
      </c>
      <c r="E325" s="2">
        <v>3450</v>
      </c>
      <c r="F325" s="2">
        <v>350</v>
      </c>
      <c r="G325">
        <v>48300</v>
      </c>
      <c r="H325" s="2">
        <v>1159200</v>
      </c>
      <c r="I325" s="2">
        <v>262200</v>
      </c>
      <c r="J325" s="3">
        <v>44769</v>
      </c>
      <c r="K325" t="s">
        <v>44</v>
      </c>
      <c r="L325" t="s">
        <v>21</v>
      </c>
      <c r="M325">
        <v>2022</v>
      </c>
      <c r="N325" t="s">
        <v>111</v>
      </c>
      <c r="O325" t="s">
        <v>31</v>
      </c>
      <c r="P325" t="s">
        <v>36</v>
      </c>
    </row>
    <row r="326" spans="1:16" x14ac:dyDescent="0.3">
      <c r="A326" t="s">
        <v>16</v>
      </c>
      <c r="B326" t="s">
        <v>160</v>
      </c>
      <c r="C326" t="s">
        <v>27</v>
      </c>
      <c r="D326" t="s">
        <v>63</v>
      </c>
      <c r="E326" s="2">
        <v>2988</v>
      </c>
      <c r="F326" s="2">
        <v>125</v>
      </c>
      <c r="G326">
        <v>14940</v>
      </c>
      <c r="H326" s="2">
        <v>358560</v>
      </c>
      <c r="I326" s="2">
        <v>0</v>
      </c>
      <c r="J326" s="3">
        <v>44590</v>
      </c>
      <c r="K326" t="s">
        <v>28</v>
      </c>
      <c r="L326" t="s">
        <v>29</v>
      </c>
      <c r="M326">
        <v>2022</v>
      </c>
      <c r="N326" t="s">
        <v>161</v>
      </c>
      <c r="O326" t="s">
        <v>31</v>
      </c>
      <c r="P326" t="s">
        <v>36</v>
      </c>
    </row>
    <row r="327" spans="1:16" x14ac:dyDescent="0.3">
      <c r="A327" t="s">
        <v>25</v>
      </c>
      <c r="B327" t="s">
        <v>47</v>
      </c>
      <c r="C327" t="s">
        <v>27</v>
      </c>
      <c r="D327" t="s">
        <v>63</v>
      </c>
      <c r="E327" s="2">
        <v>218</v>
      </c>
      <c r="F327" s="2">
        <v>15</v>
      </c>
      <c r="G327">
        <v>130.80000000000001</v>
      </c>
      <c r="H327" s="2">
        <v>3139.2</v>
      </c>
      <c r="I327" s="2">
        <v>959.19999999999982</v>
      </c>
      <c r="J327" s="3">
        <v>44656</v>
      </c>
      <c r="K327" t="s">
        <v>67</v>
      </c>
      <c r="L327" t="s">
        <v>68</v>
      </c>
      <c r="M327">
        <v>2022</v>
      </c>
      <c r="N327" t="s">
        <v>48</v>
      </c>
      <c r="O327" t="s">
        <v>31</v>
      </c>
      <c r="P327" t="s">
        <v>49</v>
      </c>
    </row>
    <row r="328" spans="1:16" x14ac:dyDescent="0.3">
      <c r="A328" t="s">
        <v>37</v>
      </c>
      <c r="B328" t="s">
        <v>38</v>
      </c>
      <c r="C328" t="s">
        <v>27</v>
      </c>
      <c r="D328" t="s">
        <v>63</v>
      </c>
      <c r="E328" s="2">
        <v>2074</v>
      </c>
      <c r="F328" s="2">
        <v>20</v>
      </c>
      <c r="G328">
        <v>1659.2</v>
      </c>
      <c r="H328" s="2">
        <v>39820.800000000003</v>
      </c>
      <c r="I328" s="2">
        <v>19080.800000000003</v>
      </c>
      <c r="J328" s="3">
        <v>44925</v>
      </c>
      <c r="K328" t="s">
        <v>75</v>
      </c>
      <c r="L328" t="s">
        <v>72</v>
      </c>
      <c r="M328">
        <v>2022</v>
      </c>
      <c r="N328" t="s">
        <v>40</v>
      </c>
      <c r="O328" t="s">
        <v>31</v>
      </c>
      <c r="P328" t="s">
        <v>41</v>
      </c>
    </row>
    <row r="329" spans="1:16" x14ac:dyDescent="0.3">
      <c r="A329" t="s">
        <v>37</v>
      </c>
      <c r="B329" t="s">
        <v>110</v>
      </c>
      <c r="C329" t="s">
        <v>27</v>
      </c>
      <c r="D329" t="s">
        <v>63</v>
      </c>
      <c r="E329" s="2">
        <v>1056</v>
      </c>
      <c r="F329" s="2">
        <v>20</v>
      </c>
      <c r="G329">
        <v>844.8</v>
      </c>
      <c r="H329" s="2">
        <v>20275.2</v>
      </c>
      <c r="I329" s="2">
        <v>9715.2000000000007</v>
      </c>
      <c r="J329" s="3">
        <v>44636</v>
      </c>
      <c r="K329" t="s">
        <v>82</v>
      </c>
      <c r="L329" t="s">
        <v>29</v>
      </c>
      <c r="M329">
        <v>2022</v>
      </c>
      <c r="N329" t="s">
        <v>111</v>
      </c>
      <c r="O329" t="s">
        <v>31</v>
      </c>
      <c r="P329" t="s">
        <v>36</v>
      </c>
    </row>
    <row r="330" spans="1:16" x14ac:dyDescent="0.3">
      <c r="A330" t="s">
        <v>37</v>
      </c>
      <c r="B330" t="s">
        <v>110</v>
      </c>
      <c r="C330" t="s">
        <v>27</v>
      </c>
      <c r="D330" t="s">
        <v>63</v>
      </c>
      <c r="E330" s="2">
        <v>274</v>
      </c>
      <c r="F330" s="2">
        <v>350</v>
      </c>
      <c r="G330">
        <v>3836</v>
      </c>
      <c r="H330" s="2">
        <v>92064</v>
      </c>
      <c r="I330" s="2">
        <v>20824</v>
      </c>
      <c r="J330" s="3">
        <v>44516</v>
      </c>
      <c r="K330" t="s">
        <v>71</v>
      </c>
      <c r="L330" t="s">
        <v>72</v>
      </c>
      <c r="M330">
        <v>2022</v>
      </c>
      <c r="N330" t="s">
        <v>111</v>
      </c>
      <c r="O330" t="s">
        <v>31</v>
      </c>
      <c r="P330" t="s">
        <v>36</v>
      </c>
    </row>
    <row r="331" spans="1:16" x14ac:dyDescent="0.3">
      <c r="A331" t="s">
        <v>16</v>
      </c>
      <c r="B331" t="s">
        <v>103</v>
      </c>
      <c r="C331" t="s">
        <v>27</v>
      </c>
      <c r="D331" t="s">
        <v>63</v>
      </c>
      <c r="E331" s="2">
        <v>1138</v>
      </c>
      <c r="F331" s="2">
        <v>125</v>
      </c>
      <c r="G331">
        <v>5690</v>
      </c>
      <c r="H331" s="2">
        <v>136560</v>
      </c>
      <c r="I331" s="2">
        <v>0</v>
      </c>
      <c r="J331" s="3">
        <v>44246</v>
      </c>
      <c r="K331" t="s">
        <v>57</v>
      </c>
      <c r="L331" t="s">
        <v>29</v>
      </c>
      <c r="M331">
        <v>2022</v>
      </c>
      <c r="N331" t="s">
        <v>105</v>
      </c>
      <c r="O331" t="s">
        <v>31</v>
      </c>
      <c r="P331" t="s">
        <v>60</v>
      </c>
    </row>
    <row r="332" spans="1:16" x14ac:dyDescent="0.3">
      <c r="A332" t="s">
        <v>42</v>
      </c>
      <c r="B332" t="s">
        <v>286</v>
      </c>
      <c r="C332" t="s">
        <v>51</v>
      </c>
      <c r="D332" t="s">
        <v>63</v>
      </c>
      <c r="E332" s="2">
        <v>1465</v>
      </c>
      <c r="F332" s="2">
        <v>12</v>
      </c>
      <c r="G332">
        <v>703.2</v>
      </c>
      <c r="H332" s="2">
        <v>16876.8</v>
      </c>
      <c r="I332" s="2">
        <v>12481.8</v>
      </c>
      <c r="J332" s="3">
        <v>44921</v>
      </c>
      <c r="K332" t="s">
        <v>75</v>
      </c>
      <c r="L332" t="s">
        <v>72</v>
      </c>
      <c r="M332">
        <v>2022</v>
      </c>
      <c r="N332" t="s">
        <v>224</v>
      </c>
      <c r="O332" t="s">
        <v>53</v>
      </c>
      <c r="P332" t="s">
        <v>41</v>
      </c>
    </row>
    <row r="333" spans="1:16" x14ac:dyDescent="0.3">
      <c r="A333" t="s">
        <v>37</v>
      </c>
      <c r="B333" t="s">
        <v>166</v>
      </c>
      <c r="C333" t="s">
        <v>51</v>
      </c>
      <c r="D333" t="s">
        <v>63</v>
      </c>
      <c r="E333" s="2">
        <v>2177</v>
      </c>
      <c r="F333" s="2">
        <v>350</v>
      </c>
      <c r="G333">
        <v>30478</v>
      </c>
      <c r="H333" s="2">
        <v>731472</v>
      </c>
      <c r="I333" s="2">
        <v>165452</v>
      </c>
      <c r="J333" s="3">
        <v>44699</v>
      </c>
      <c r="K333" t="s">
        <v>104</v>
      </c>
      <c r="L333" t="s">
        <v>68</v>
      </c>
      <c r="M333">
        <v>2022</v>
      </c>
      <c r="N333" t="s">
        <v>167</v>
      </c>
      <c r="O333" t="s">
        <v>53</v>
      </c>
      <c r="P333" t="s">
        <v>49</v>
      </c>
    </row>
    <row r="334" spans="1:16" x14ac:dyDescent="0.3">
      <c r="A334" t="s">
        <v>42</v>
      </c>
      <c r="B334" t="s">
        <v>216</v>
      </c>
      <c r="C334" t="s">
        <v>56</v>
      </c>
      <c r="D334" t="s">
        <v>63</v>
      </c>
      <c r="E334" s="2">
        <v>866</v>
      </c>
      <c r="F334" s="2">
        <v>12</v>
      </c>
      <c r="G334">
        <v>415.68</v>
      </c>
      <c r="H334" s="2">
        <v>9976.32</v>
      </c>
      <c r="I334" s="2">
        <v>7378.32</v>
      </c>
      <c r="J334" s="3">
        <v>44377</v>
      </c>
      <c r="K334" t="s">
        <v>146</v>
      </c>
      <c r="L334" t="s">
        <v>68</v>
      </c>
      <c r="M334">
        <v>2022</v>
      </c>
      <c r="N334" t="s">
        <v>217</v>
      </c>
      <c r="O334" t="s">
        <v>59</v>
      </c>
      <c r="P334" t="s">
        <v>24</v>
      </c>
    </row>
    <row r="335" spans="1:16" x14ac:dyDescent="0.3">
      <c r="A335" t="s">
        <v>37</v>
      </c>
      <c r="B335" t="s">
        <v>55</v>
      </c>
      <c r="C335" t="s">
        <v>56</v>
      </c>
      <c r="D335" t="s">
        <v>63</v>
      </c>
      <c r="E335" s="2">
        <v>2177</v>
      </c>
      <c r="F335" s="2">
        <v>350</v>
      </c>
      <c r="G335">
        <v>30478</v>
      </c>
      <c r="H335" s="2">
        <v>731472</v>
      </c>
      <c r="I335" s="2">
        <v>165452</v>
      </c>
      <c r="J335" s="3">
        <v>44257</v>
      </c>
      <c r="K335" t="s">
        <v>82</v>
      </c>
      <c r="L335" t="s">
        <v>29</v>
      </c>
      <c r="M335">
        <v>2022</v>
      </c>
      <c r="N335" t="s">
        <v>58</v>
      </c>
      <c r="O335" t="s">
        <v>59</v>
      </c>
      <c r="P335" t="s">
        <v>60</v>
      </c>
    </row>
    <row r="336" spans="1:16" x14ac:dyDescent="0.3">
      <c r="A336" t="s">
        <v>37</v>
      </c>
      <c r="B336" t="s">
        <v>239</v>
      </c>
      <c r="C336" t="s">
        <v>90</v>
      </c>
      <c r="D336" t="s">
        <v>63</v>
      </c>
      <c r="E336" s="2">
        <v>1865</v>
      </c>
      <c r="F336" s="2">
        <v>350</v>
      </c>
      <c r="G336">
        <v>26110</v>
      </c>
      <c r="H336" s="2">
        <v>626640</v>
      </c>
      <c r="I336" s="2">
        <v>141740</v>
      </c>
      <c r="J336" s="3">
        <v>44206</v>
      </c>
      <c r="K336" t="s">
        <v>28</v>
      </c>
      <c r="L336" t="s">
        <v>29</v>
      </c>
      <c r="M336">
        <v>2022</v>
      </c>
      <c r="N336" t="s">
        <v>173</v>
      </c>
      <c r="O336" t="s">
        <v>92</v>
      </c>
      <c r="P336" t="s">
        <v>46</v>
      </c>
    </row>
    <row r="337" spans="1:16" x14ac:dyDescent="0.3">
      <c r="A337" t="s">
        <v>16</v>
      </c>
      <c r="B337" t="s">
        <v>237</v>
      </c>
      <c r="C337" t="s">
        <v>90</v>
      </c>
      <c r="D337" t="s">
        <v>63</v>
      </c>
      <c r="E337" s="2">
        <v>1074</v>
      </c>
      <c r="F337" s="2">
        <v>125</v>
      </c>
      <c r="G337">
        <v>5370</v>
      </c>
      <c r="H337" s="2">
        <v>128880</v>
      </c>
      <c r="I337" s="2">
        <v>0</v>
      </c>
      <c r="J337" s="3">
        <v>44694</v>
      </c>
      <c r="K337" t="s">
        <v>104</v>
      </c>
      <c r="L337" t="s">
        <v>68</v>
      </c>
      <c r="M337">
        <v>2022</v>
      </c>
      <c r="N337" t="s">
        <v>238</v>
      </c>
      <c r="O337" t="s">
        <v>92</v>
      </c>
      <c r="P337" t="s">
        <v>41</v>
      </c>
    </row>
    <row r="338" spans="1:16" x14ac:dyDescent="0.3">
      <c r="A338" t="s">
        <v>37</v>
      </c>
      <c r="B338" t="s">
        <v>126</v>
      </c>
      <c r="C338" t="s">
        <v>90</v>
      </c>
      <c r="D338" t="s">
        <v>63</v>
      </c>
      <c r="E338" s="2">
        <v>1907</v>
      </c>
      <c r="F338" s="2">
        <v>350</v>
      </c>
      <c r="G338">
        <v>26698</v>
      </c>
      <c r="H338" s="2">
        <v>640752</v>
      </c>
      <c r="I338" s="2">
        <v>144932</v>
      </c>
      <c r="J338" s="3">
        <v>44540</v>
      </c>
      <c r="K338" t="s">
        <v>75</v>
      </c>
      <c r="L338" t="s">
        <v>72</v>
      </c>
      <c r="M338">
        <v>2022</v>
      </c>
      <c r="N338" t="s">
        <v>127</v>
      </c>
      <c r="O338" t="s">
        <v>92</v>
      </c>
      <c r="P338" t="s">
        <v>36</v>
      </c>
    </row>
    <row r="339" spans="1:16" x14ac:dyDescent="0.3">
      <c r="A339" t="s">
        <v>37</v>
      </c>
      <c r="B339" t="s">
        <v>200</v>
      </c>
      <c r="C339" t="s">
        <v>27</v>
      </c>
      <c r="D339" t="s">
        <v>153</v>
      </c>
      <c r="E339" s="2">
        <v>1372</v>
      </c>
      <c r="F339" s="2">
        <v>7</v>
      </c>
      <c r="G339">
        <v>480.2</v>
      </c>
      <c r="H339" s="2">
        <v>9123.7999999999993</v>
      </c>
      <c r="I339" s="2">
        <v>2263.7999999999993</v>
      </c>
      <c r="J339" s="3">
        <v>44658</v>
      </c>
      <c r="K339" t="s">
        <v>67</v>
      </c>
      <c r="L339" t="s">
        <v>68</v>
      </c>
      <c r="M339">
        <v>2022</v>
      </c>
      <c r="N339" t="s">
        <v>201</v>
      </c>
      <c r="O339" t="s">
        <v>31</v>
      </c>
      <c r="P339" t="s">
        <v>60</v>
      </c>
    </row>
    <row r="340" spans="1:16" x14ac:dyDescent="0.3">
      <c r="A340" t="s">
        <v>37</v>
      </c>
      <c r="B340" t="s">
        <v>136</v>
      </c>
      <c r="C340" t="s">
        <v>27</v>
      </c>
      <c r="D340" t="s">
        <v>153</v>
      </c>
      <c r="E340" s="2">
        <v>2689</v>
      </c>
      <c r="F340" s="2">
        <v>7</v>
      </c>
      <c r="G340">
        <v>941.15</v>
      </c>
      <c r="H340" s="2">
        <v>17881.849999999999</v>
      </c>
      <c r="I340" s="2">
        <v>4436.8499999999985</v>
      </c>
      <c r="J340" s="3">
        <v>44595</v>
      </c>
      <c r="K340" t="s">
        <v>57</v>
      </c>
      <c r="L340" t="s">
        <v>29</v>
      </c>
      <c r="M340">
        <v>2022</v>
      </c>
      <c r="N340" t="s">
        <v>137</v>
      </c>
      <c r="O340" t="s">
        <v>31</v>
      </c>
      <c r="P340" t="s">
        <v>60</v>
      </c>
    </row>
    <row r="341" spans="1:16" x14ac:dyDescent="0.3">
      <c r="A341" t="s">
        <v>42</v>
      </c>
      <c r="B341" t="s">
        <v>178</v>
      </c>
      <c r="C341" t="s">
        <v>27</v>
      </c>
      <c r="D341" t="s">
        <v>153</v>
      </c>
      <c r="E341" s="2">
        <v>2431</v>
      </c>
      <c r="F341" s="2">
        <v>12</v>
      </c>
      <c r="G341">
        <v>1458.6</v>
      </c>
      <c r="H341" s="2">
        <v>27713.4</v>
      </c>
      <c r="I341" s="2">
        <v>20420.400000000001</v>
      </c>
      <c r="J341" s="3">
        <v>44905</v>
      </c>
      <c r="K341" t="s">
        <v>75</v>
      </c>
      <c r="L341" t="s">
        <v>72</v>
      </c>
      <c r="M341">
        <v>2022</v>
      </c>
      <c r="N341" t="s">
        <v>141</v>
      </c>
      <c r="O341" t="s">
        <v>31</v>
      </c>
      <c r="P341" t="s">
        <v>41</v>
      </c>
    </row>
    <row r="342" spans="1:16" x14ac:dyDescent="0.3">
      <c r="A342" t="s">
        <v>42</v>
      </c>
      <c r="B342" t="s">
        <v>287</v>
      </c>
      <c r="C342" t="s">
        <v>51</v>
      </c>
      <c r="D342" t="s">
        <v>153</v>
      </c>
      <c r="E342" s="2">
        <v>2431</v>
      </c>
      <c r="F342" s="2">
        <v>12</v>
      </c>
      <c r="G342">
        <v>1458.6</v>
      </c>
      <c r="H342" s="2">
        <v>27713.4</v>
      </c>
      <c r="I342" s="2">
        <v>20420.400000000001</v>
      </c>
      <c r="J342" s="3">
        <v>44873</v>
      </c>
      <c r="K342" t="s">
        <v>71</v>
      </c>
      <c r="L342" t="s">
        <v>72</v>
      </c>
      <c r="M342">
        <v>2022</v>
      </c>
      <c r="N342" t="s">
        <v>226</v>
      </c>
      <c r="O342" t="s">
        <v>53</v>
      </c>
      <c r="P342" t="s">
        <v>46</v>
      </c>
    </row>
    <row r="343" spans="1:16" x14ac:dyDescent="0.3">
      <c r="A343" t="s">
        <v>37</v>
      </c>
      <c r="B343" t="s">
        <v>124</v>
      </c>
      <c r="C343" t="s">
        <v>56</v>
      </c>
      <c r="D343" t="s">
        <v>153</v>
      </c>
      <c r="E343" s="2">
        <v>2689</v>
      </c>
      <c r="F343" s="2">
        <v>7</v>
      </c>
      <c r="G343">
        <v>941.15</v>
      </c>
      <c r="H343" s="2">
        <v>17881.849999999999</v>
      </c>
      <c r="I343" s="2">
        <v>4436.8499999999985</v>
      </c>
      <c r="J343" s="3">
        <v>44391</v>
      </c>
      <c r="K343" t="s">
        <v>44</v>
      </c>
      <c r="L343" t="s">
        <v>21</v>
      </c>
      <c r="M343">
        <v>2022</v>
      </c>
      <c r="N343" t="s">
        <v>125</v>
      </c>
      <c r="O343" t="s">
        <v>59</v>
      </c>
      <c r="P343" t="s">
        <v>32</v>
      </c>
    </row>
    <row r="344" spans="1:16" x14ac:dyDescent="0.3">
      <c r="A344" t="s">
        <v>37</v>
      </c>
      <c r="B344" t="s">
        <v>239</v>
      </c>
      <c r="C344" t="s">
        <v>90</v>
      </c>
      <c r="D344" t="s">
        <v>153</v>
      </c>
      <c r="E344" s="2">
        <v>1683</v>
      </c>
      <c r="F344" s="2">
        <v>7</v>
      </c>
      <c r="G344">
        <v>589.04999999999995</v>
      </c>
      <c r="H344" s="2">
        <v>11191.95</v>
      </c>
      <c r="I344" s="2">
        <v>2776.9500000000007</v>
      </c>
      <c r="J344" s="3">
        <v>44577</v>
      </c>
      <c r="K344" t="s">
        <v>28</v>
      </c>
      <c r="L344" t="s">
        <v>29</v>
      </c>
      <c r="M344">
        <v>2022</v>
      </c>
      <c r="N344" t="s">
        <v>173</v>
      </c>
      <c r="O344" t="s">
        <v>92</v>
      </c>
      <c r="P344" t="s">
        <v>46</v>
      </c>
    </row>
    <row r="345" spans="1:16" x14ac:dyDescent="0.3">
      <c r="A345" t="s">
        <v>42</v>
      </c>
      <c r="B345" t="s">
        <v>208</v>
      </c>
      <c r="C345" t="s">
        <v>90</v>
      </c>
      <c r="D345" t="s">
        <v>153</v>
      </c>
      <c r="E345" s="2">
        <v>1123</v>
      </c>
      <c r="F345" s="2">
        <v>12</v>
      </c>
      <c r="G345">
        <v>673.8</v>
      </c>
      <c r="H345" s="2">
        <v>12802.2</v>
      </c>
      <c r="I345" s="2">
        <v>9433.2000000000007</v>
      </c>
      <c r="J345" s="3">
        <v>44562</v>
      </c>
      <c r="K345" t="s">
        <v>28</v>
      </c>
      <c r="L345" t="s">
        <v>29</v>
      </c>
      <c r="M345">
        <v>2022</v>
      </c>
      <c r="N345" t="s">
        <v>209</v>
      </c>
      <c r="O345" t="s">
        <v>92</v>
      </c>
      <c r="P345" t="s">
        <v>41</v>
      </c>
    </row>
    <row r="346" spans="1:16" x14ac:dyDescent="0.3">
      <c r="A346" t="s">
        <v>42</v>
      </c>
      <c r="B346" t="s">
        <v>229</v>
      </c>
      <c r="C346" t="s">
        <v>62</v>
      </c>
      <c r="D346" t="s">
        <v>153</v>
      </c>
      <c r="E346" s="2">
        <v>1865</v>
      </c>
      <c r="F346" s="2">
        <v>12</v>
      </c>
      <c r="G346">
        <v>1119</v>
      </c>
      <c r="H346" s="2">
        <v>21261</v>
      </c>
      <c r="I346" s="2">
        <v>15666</v>
      </c>
      <c r="J346" s="3">
        <v>44574</v>
      </c>
      <c r="K346" t="s">
        <v>28</v>
      </c>
      <c r="L346" t="s">
        <v>29</v>
      </c>
      <c r="M346">
        <v>2022</v>
      </c>
      <c r="N346" t="s">
        <v>230</v>
      </c>
      <c r="O346" t="s">
        <v>65</v>
      </c>
      <c r="P346" t="s">
        <v>60</v>
      </c>
    </row>
    <row r="347" spans="1:16" x14ac:dyDescent="0.3">
      <c r="A347" t="s">
        <v>42</v>
      </c>
      <c r="B347" t="s">
        <v>66</v>
      </c>
      <c r="C347" t="s">
        <v>62</v>
      </c>
      <c r="D347" t="s">
        <v>153</v>
      </c>
      <c r="E347" s="2">
        <v>1116</v>
      </c>
      <c r="F347" s="2">
        <v>12</v>
      </c>
      <c r="G347">
        <v>669.6</v>
      </c>
      <c r="H347" s="2">
        <v>12722.4</v>
      </c>
      <c r="I347" s="2">
        <v>9374.4</v>
      </c>
      <c r="J347" s="3">
        <v>44345</v>
      </c>
      <c r="K347" t="s">
        <v>104</v>
      </c>
      <c r="L347" t="s">
        <v>68</v>
      </c>
      <c r="M347">
        <v>2022</v>
      </c>
      <c r="N347" t="s">
        <v>69</v>
      </c>
      <c r="O347" t="s">
        <v>65</v>
      </c>
      <c r="P347" t="s">
        <v>32</v>
      </c>
    </row>
    <row r="348" spans="1:16" x14ac:dyDescent="0.3">
      <c r="A348" t="s">
        <v>37</v>
      </c>
      <c r="B348" t="s">
        <v>97</v>
      </c>
      <c r="C348" t="s">
        <v>62</v>
      </c>
      <c r="D348" t="s">
        <v>153</v>
      </c>
      <c r="E348" s="2">
        <v>1563</v>
      </c>
      <c r="F348" s="2">
        <v>20</v>
      </c>
      <c r="G348">
        <v>1563</v>
      </c>
      <c r="H348" s="2">
        <v>29697</v>
      </c>
      <c r="I348" s="2">
        <v>14067</v>
      </c>
      <c r="J348" s="3">
        <v>44417</v>
      </c>
      <c r="K348" t="s">
        <v>39</v>
      </c>
      <c r="L348" t="s">
        <v>21</v>
      </c>
      <c r="M348">
        <v>2022</v>
      </c>
      <c r="N348" t="s">
        <v>98</v>
      </c>
      <c r="O348" t="s">
        <v>65</v>
      </c>
      <c r="P348" t="s">
        <v>46</v>
      </c>
    </row>
    <row r="349" spans="1:16" x14ac:dyDescent="0.3">
      <c r="A349" t="s">
        <v>33</v>
      </c>
      <c r="B349" t="s">
        <v>288</v>
      </c>
      <c r="C349" t="s">
        <v>62</v>
      </c>
      <c r="D349" t="s">
        <v>153</v>
      </c>
      <c r="E349" s="2">
        <v>991</v>
      </c>
      <c r="F349" s="2">
        <v>300</v>
      </c>
      <c r="G349">
        <v>14865</v>
      </c>
      <c r="H349" s="2">
        <v>282435</v>
      </c>
      <c r="I349" s="2">
        <v>34685</v>
      </c>
      <c r="J349" s="3">
        <v>44918</v>
      </c>
      <c r="K349" t="s">
        <v>75</v>
      </c>
      <c r="L349" t="s">
        <v>72</v>
      </c>
      <c r="M349">
        <v>2022</v>
      </c>
      <c r="N349" t="s">
        <v>159</v>
      </c>
      <c r="O349" t="s">
        <v>65</v>
      </c>
      <c r="P349" t="s">
        <v>49</v>
      </c>
    </row>
    <row r="350" spans="1:16" x14ac:dyDescent="0.3">
      <c r="A350" t="s">
        <v>25</v>
      </c>
      <c r="B350" t="s">
        <v>262</v>
      </c>
      <c r="C350" t="s">
        <v>62</v>
      </c>
      <c r="D350" t="s">
        <v>153</v>
      </c>
      <c r="E350" s="2">
        <v>2791</v>
      </c>
      <c r="F350" s="2">
        <v>15</v>
      </c>
      <c r="G350">
        <v>2093.25</v>
      </c>
      <c r="H350" s="2">
        <v>39771.75</v>
      </c>
      <c r="I350" s="2">
        <v>11861.75</v>
      </c>
      <c r="J350" s="3">
        <v>44445</v>
      </c>
      <c r="K350" t="s">
        <v>20</v>
      </c>
      <c r="L350" t="s">
        <v>21</v>
      </c>
      <c r="M350">
        <v>2022</v>
      </c>
      <c r="N350" t="s">
        <v>224</v>
      </c>
      <c r="O350" t="s">
        <v>65</v>
      </c>
      <c r="P350" t="s">
        <v>41</v>
      </c>
    </row>
    <row r="351" spans="1:16" x14ac:dyDescent="0.3">
      <c r="A351" t="s">
        <v>37</v>
      </c>
      <c r="B351" t="s">
        <v>172</v>
      </c>
      <c r="C351" t="s">
        <v>62</v>
      </c>
      <c r="D351" t="s">
        <v>153</v>
      </c>
      <c r="E351" s="2">
        <v>570</v>
      </c>
      <c r="F351" s="2">
        <v>7</v>
      </c>
      <c r="G351">
        <v>199.5</v>
      </c>
      <c r="H351" s="2">
        <v>3790.5</v>
      </c>
      <c r="I351" s="2">
        <v>940.5</v>
      </c>
      <c r="J351" s="3">
        <v>44291</v>
      </c>
      <c r="K351" t="s">
        <v>67</v>
      </c>
      <c r="L351" t="s">
        <v>68</v>
      </c>
      <c r="M351">
        <v>2022</v>
      </c>
      <c r="N351" t="s">
        <v>173</v>
      </c>
      <c r="O351" t="s">
        <v>65</v>
      </c>
      <c r="P351" t="s">
        <v>24</v>
      </c>
    </row>
    <row r="352" spans="1:16" x14ac:dyDescent="0.3">
      <c r="A352" t="s">
        <v>37</v>
      </c>
      <c r="B352" t="s">
        <v>97</v>
      </c>
      <c r="C352" t="s">
        <v>62</v>
      </c>
      <c r="D352" t="s">
        <v>153</v>
      </c>
      <c r="E352" s="2">
        <v>2487</v>
      </c>
      <c r="F352" s="2">
        <v>7</v>
      </c>
      <c r="G352">
        <v>870.45</v>
      </c>
      <c r="H352" s="2">
        <v>16538.55</v>
      </c>
      <c r="I352" s="2">
        <v>4103.5499999999993</v>
      </c>
      <c r="J352" s="3">
        <v>44781</v>
      </c>
      <c r="K352" t="s">
        <v>39</v>
      </c>
      <c r="L352" t="s">
        <v>21</v>
      </c>
      <c r="M352">
        <v>2022</v>
      </c>
      <c r="N352" t="s">
        <v>98</v>
      </c>
      <c r="O352" t="s">
        <v>65</v>
      </c>
      <c r="P352" t="s">
        <v>46</v>
      </c>
    </row>
    <row r="353" spans="1:16" x14ac:dyDescent="0.3">
      <c r="A353" t="s">
        <v>37</v>
      </c>
      <c r="B353" t="s">
        <v>176</v>
      </c>
      <c r="C353" t="s">
        <v>18</v>
      </c>
      <c r="D353" t="s">
        <v>153</v>
      </c>
      <c r="E353" s="2">
        <v>1384.5</v>
      </c>
      <c r="F353" s="2">
        <v>350</v>
      </c>
      <c r="G353">
        <v>24228.75</v>
      </c>
      <c r="H353" s="2">
        <v>460346.25</v>
      </c>
      <c r="I353" s="2">
        <v>100376.25</v>
      </c>
      <c r="J353" s="3">
        <v>44371</v>
      </c>
      <c r="K353" t="s">
        <v>146</v>
      </c>
      <c r="L353" t="s">
        <v>68</v>
      </c>
      <c r="M353">
        <v>2022</v>
      </c>
      <c r="N353" t="s">
        <v>177</v>
      </c>
      <c r="O353" t="s">
        <v>23</v>
      </c>
      <c r="P353" t="s">
        <v>36</v>
      </c>
    </row>
    <row r="354" spans="1:16" x14ac:dyDescent="0.3">
      <c r="A354" t="s">
        <v>16</v>
      </c>
      <c r="B354" t="s">
        <v>77</v>
      </c>
      <c r="C354" t="s">
        <v>18</v>
      </c>
      <c r="D354" t="s">
        <v>153</v>
      </c>
      <c r="E354" s="2">
        <v>3627</v>
      </c>
      <c r="F354" s="2">
        <v>125</v>
      </c>
      <c r="G354">
        <v>22668.75</v>
      </c>
      <c r="H354" s="2">
        <v>430706.25</v>
      </c>
      <c r="I354" s="2">
        <v>-4533.75</v>
      </c>
      <c r="J354" s="3">
        <v>44353</v>
      </c>
      <c r="K354" t="s">
        <v>146</v>
      </c>
      <c r="L354" t="s">
        <v>68</v>
      </c>
      <c r="M354">
        <v>2022</v>
      </c>
      <c r="N354" t="s">
        <v>78</v>
      </c>
      <c r="O354" t="s">
        <v>23</v>
      </c>
      <c r="P354" t="s">
        <v>46</v>
      </c>
    </row>
    <row r="355" spans="1:16" x14ac:dyDescent="0.3">
      <c r="A355" t="s">
        <v>42</v>
      </c>
      <c r="B355" t="s">
        <v>265</v>
      </c>
      <c r="C355" t="s">
        <v>18</v>
      </c>
      <c r="D355" t="s">
        <v>153</v>
      </c>
      <c r="E355" s="2">
        <v>2342</v>
      </c>
      <c r="F355" s="2">
        <v>12</v>
      </c>
      <c r="G355">
        <v>1405.2</v>
      </c>
      <c r="H355" s="2">
        <v>26698.799999999999</v>
      </c>
      <c r="I355" s="2">
        <v>19672.8</v>
      </c>
      <c r="J355" s="3">
        <v>44432</v>
      </c>
      <c r="K355" t="s">
        <v>39</v>
      </c>
      <c r="L355" t="s">
        <v>21</v>
      </c>
      <c r="M355">
        <v>2022</v>
      </c>
      <c r="N355" t="s">
        <v>161</v>
      </c>
      <c r="O355" t="s">
        <v>23</v>
      </c>
      <c r="P355" t="s">
        <v>54</v>
      </c>
    </row>
    <row r="356" spans="1:16" x14ac:dyDescent="0.3">
      <c r="A356" t="s">
        <v>37</v>
      </c>
      <c r="B356" t="s">
        <v>162</v>
      </c>
      <c r="C356" t="s">
        <v>27</v>
      </c>
      <c r="D356" t="s">
        <v>153</v>
      </c>
      <c r="E356" s="2">
        <v>1303</v>
      </c>
      <c r="F356" s="2">
        <v>20</v>
      </c>
      <c r="G356">
        <v>1303</v>
      </c>
      <c r="H356" s="2">
        <v>24757</v>
      </c>
      <c r="I356" s="2">
        <v>11727</v>
      </c>
      <c r="J356" s="3">
        <v>44888</v>
      </c>
      <c r="K356" t="s">
        <v>71</v>
      </c>
      <c r="L356" t="s">
        <v>72</v>
      </c>
      <c r="M356">
        <v>2022</v>
      </c>
      <c r="N356" t="s">
        <v>163</v>
      </c>
      <c r="O356" t="s">
        <v>31</v>
      </c>
      <c r="P356" t="s">
        <v>41</v>
      </c>
    </row>
    <row r="357" spans="1:16" x14ac:dyDescent="0.3">
      <c r="A357" t="s">
        <v>16</v>
      </c>
      <c r="B357" t="s">
        <v>269</v>
      </c>
      <c r="C357" t="s">
        <v>27</v>
      </c>
      <c r="D357" t="s">
        <v>153</v>
      </c>
      <c r="E357" s="2">
        <v>2992</v>
      </c>
      <c r="F357" s="2">
        <v>125</v>
      </c>
      <c r="G357">
        <v>18700</v>
      </c>
      <c r="H357" s="2">
        <v>355300</v>
      </c>
      <c r="I357" s="2">
        <v>-3740</v>
      </c>
      <c r="J357" s="3">
        <v>44697</v>
      </c>
      <c r="K357" t="s">
        <v>104</v>
      </c>
      <c r="L357" t="s">
        <v>68</v>
      </c>
      <c r="M357">
        <v>2022</v>
      </c>
      <c r="N357" t="s">
        <v>236</v>
      </c>
      <c r="O357" t="s">
        <v>31</v>
      </c>
      <c r="P357" t="s">
        <v>36</v>
      </c>
    </row>
    <row r="358" spans="1:16" x14ac:dyDescent="0.3">
      <c r="A358" t="s">
        <v>16</v>
      </c>
      <c r="B358" t="s">
        <v>160</v>
      </c>
      <c r="C358" t="s">
        <v>27</v>
      </c>
      <c r="D358" t="s">
        <v>153</v>
      </c>
      <c r="E358" s="2">
        <v>2385</v>
      </c>
      <c r="F358" s="2">
        <v>125</v>
      </c>
      <c r="G358">
        <v>14906.25</v>
      </c>
      <c r="H358" s="2">
        <v>283218.75</v>
      </c>
      <c r="I358" s="2">
        <v>-2981.25</v>
      </c>
      <c r="J358" s="3">
        <v>44209</v>
      </c>
      <c r="K358" t="s">
        <v>28</v>
      </c>
      <c r="L358" t="s">
        <v>29</v>
      </c>
      <c r="M358">
        <v>2022</v>
      </c>
      <c r="N358" t="s">
        <v>161</v>
      </c>
      <c r="O358" t="s">
        <v>31</v>
      </c>
      <c r="P358" t="s">
        <v>36</v>
      </c>
    </row>
    <row r="359" spans="1:16" x14ac:dyDescent="0.3">
      <c r="A359" t="s">
        <v>33</v>
      </c>
      <c r="B359" t="s">
        <v>34</v>
      </c>
      <c r="C359" t="s">
        <v>27</v>
      </c>
      <c r="D359" t="s">
        <v>153</v>
      </c>
      <c r="E359" s="2">
        <v>1607</v>
      </c>
      <c r="F359" s="2">
        <v>300</v>
      </c>
      <c r="G359">
        <v>24105</v>
      </c>
      <c r="H359" s="2">
        <v>457995</v>
      </c>
      <c r="I359" s="2">
        <v>56245</v>
      </c>
      <c r="J359" s="3">
        <v>44258</v>
      </c>
      <c r="K359" t="s">
        <v>82</v>
      </c>
      <c r="L359" t="s">
        <v>29</v>
      </c>
      <c r="M359">
        <v>2022</v>
      </c>
      <c r="N359" t="s">
        <v>35</v>
      </c>
      <c r="O359" t="s">
        <v>31</v>
      </c>
      <c r="P359" t="s">
        <v>36</v>
      </c>
    </row>
    <row r="360" spans="1:16" x14ac:dyDescent="0.3">
      <c r="A360" t="s">
        <v>37</v>
      </c>
      <c r="B360" t="s">
        <v>110</v>
      </c>
      <c r="C360" t="s">
        <v>27</v>
      </c>
      <c r="D360" t="s">
        <v>153</v>
      </c>
      <c r="E360" s="2">
        <v>2327</v>
      </c>
      <c r="F360" s="2">
        <v>7</v>
      </c>
      <c r="G360">
        <v>814.45</v>
      </c>
      <c r="H360" s="2">
        <v>15474.55</v>
      </c>
      <c r="I360" s="2">
        <v>3839.5499999999993</v>
      </c>
      <c r="J360" s="3">
        <v>44645</v>
      </c>
      <c r="K360" t="s">
        <v>82</v>
      </c>
      <c r="L360" t="s">
        <v>29</v>
      </c>
      <c r="M360">
        <v>2022</v>
      </c>
      <c r="N360" t="s">
        <v>111</v>
      </c>
      <c r="O360" t="s">
        <v>31</v>
      </c>
      <c r="P360" t="s">
        <v>36</v>
      </c>
    </row>
    <row r="361" spans="1:16" x14ac:dyDescent="0.3">
      <c r="A361" t="s">
        <v>33</v>
      </c>
      <c r="B361" t="s">
        <v>270</v>
      </c>
      <c r="C361" t="s">
        <v>27</v>
      </c>
      <c r="D361" t="s">
        <v>153</v>
      </c>
      <c r="E361" s="2">
        <v>991</v>
      </c>
      <c r="F361" s="2">
        <v>300</v>
      </c>
      <c r="G361">
        <v>14865</v>
      </c>
      <c r="H361" s="2">
        <v>282435</v>
      </c>
      <c r="I361" s="2">
        <v>34685</v>
      </c>
      <c r="J361" s="3">
        <v>44476</v>
      </c>
      <c r="K361" t="s">
        <v>85</v>
      </c>
      <c r="L361" t="s">
        <v>72</v>
      </c>
      <c r="M361">
        <v>2022</v>
      </c>
      <c r="N361" t="s">
        <v>238</v>
      </c>
      <c r="O361" t="s">
        <v>31</v>
      </c>
      <c r="P361" t="s">
        <v>41</v>
      </c>
    </row>
    <row r="362" spans="1:16" x14ac:dyDescent="0.3">
      <c r="A362" t="s">
        <v>37</v>
      </c>
      <c r="B362" t="s">
        <v>110</v>
      </c>
      <c r="C362" t="s">
        <v>27</v>
      </c>
      <c r="D362" t="s">
        <v>153</v>
      </c>
      <c r="E362" s="2">
        <v>602</v>
      </c>
      <c r="F362" s="2">
        <v>350</v>
      </c>
      <c r="G362">
        <v>10535</v>
      </c>
      <c r="H362" s="2">
        <v>200165</v>
      </c>
      <c r="I362" s="2">
        <v>43645</v>
      </c>
      <c r="J362" s="3">
        <v>44886</v>
      </c>
      <c r="K362" t="s">
        <v>71</v>
      </c>
      <c r="L362" t="s">
        <v>72</v>
      </c>
      <c r="M362">
        <v>2022</v>
      </c>
      <c r="N362" t="s">
        <v>111</v>
      </c>
      <c r="O362" t="s">
        <v>31</v>
      </c>
      <c r="P362" t="s">
        <v>36</v>
      </c>
    </row>
    <row r="363" spans="1:16" x14ac:dyDescent="0.3">
      <c r="A363" t="s">
        <v>25</v>
      </c>
      <c r="B363" t="s">
        <v>26</v>
      </c>
      <c r="C363" t="s">
        <v>27</v>
      </c>
      <c r="D363" t="s">
        <v>153</v>
      </c>
      <c r="E363" s="2">
        <v>2620</v>
      </c>
      <c r="F363" s="2">
        <v>15</v>
      </c>
      <c r="G363">
        <v>1965</v>
      </c>
      <c r="H363" s="2">
        <v>37335</v>
      </c>
      <c r="I363" s="2">
        <v>11135</v>
      </c>
      <c r="J363" s="3">
        <v>44227</v>
      </c>
      <c r="K363" t="s">
        <v>28</v>
      </c>
      <c r="L363" t="s">
        <v>29</v>
      </c>
      <c r="M363">
        <v>2022</v>
      </c>
      <c r="N363" t="s">
        <v>30</v>
      </c>
      <c r="O363" t="s">
        <v>31</v>
      </c>
      <c r="P363" t="s">
        <v>32</v>
      </c>
    </row>
    <row r="364" spans="1:16" x14ac:dyDescent="0.3">
      <c r="A364" t="s">
        <v>16</v>
      </c>
      <c r="B364" t="s">
        <v>269</v>
      </c>
      <c r="C364" t="s">
        <v>27</v>
      </c>
      <c r="D364" t="s">
        <v>153</v>
      </c>
      <c r="E364" s="2">
        <v>861</v>
      </c>
      <c r="F364" s="2">
        <v>125</v>
      </c>
      <c r="G364">
        <v>5381.25</v>
      </c>
      <c r="H364" s="2">
        <v>102243.75</v>
      </c>
      <c r="I364" s="2">
        <v>-1076.25</v>
      </c>
      <c r="J364" s="3">
        <v>44394</v>
      </c>
      <c r="K364" t="s">
        <v>44</v>
      </c>
      <c r="L364" t="s">
        <v>21</v>
      </c>
      <c r="M364">
        <v>2022</v>
      </c>
      <c r="N364" t="s">
        <v>236</v>
      </c>
      <c r="O364" t="s">
        <v>31</v>
      </c>
      <c r="P364" t="s">
        <v>36</v>
      </c>
    </row>
    <row r="365" spans="1:16" x14ac:dyDescent="0.3">
      <c r="A365" t="s">
        <v>37</v>
      </c>
      <c r="B365" t="s">
        <v>110</v>
      </c>
      <c r="C365" t="s">
        <v>27</v>
      </c>
      <c r="D365" t="s">
        <v>153</v>
      </c>
      <c r="E365" s="2">
        <v>2663</v>
      </c>
      <c r="F365" s="2">
        <v>20</v>
      </c>
      <c r="G365">
        <v>2663</v>
      </c>
      <c r="H365" s="2">
        <v>50597</v>
      </c>
      <c r="I365" s="2">
        <v>23967</v>
      </c>
      <c r="J365" s="3">
        <v>44216</v>
      </c>
      <c r="K365" t="s">
        <v>28</v>
      </c>
      <c r="L365" t="s">
        <v>29</v>
      </c>
      <c r="M365">
        <v>2022</v>
      </c>
      <c r="N365" t="s">
        <v>111</v>
      </c>
      <c r="O365" t="s">
        <v>31</v>
      </c>
      <c r="P365" t="s">
        <v>36</v>
      </c>
    </row>
    <row r="366" spans="1:16" x14ac:dyDescent="0.3">
      <c r="A366" t="s">
        <v>25</v>
      </c>
      <c r="B366" t="s">
        <v>289</v>
      </c>
      <c r="C366" t="s">
        <v>51</v>
      </c>
      <c r="D366" t="s">
        <v>153</v>
      </c>
      <c r="E366" s="2">
        <v>555</v>
      </c>
      <c r="F366" s="2">
        <v>15</v>
      </c>
      <c r="G366">
        <v>416.25</v>
      </c>
      <c r="H366" s="2">
        <v>7908.75</v>
      </c>
      <c r="I366" s="2">
        <v>2358.75</v>
      </c>
      <c r="J366" s="3">
        <v>44472</v>
      </c>
      <c r="K366" t="s">
        <v>85</v>
      </c>
      <c r="L366" t="s">
        <v>72</v>
      </c>
      <c r="M366">
        <v>2022</v>
      </c>
      <c r="N366" t="s">
        <v>161</v>
      </c>
      <c r="O366" t="s">
        <v>53</v>
      </c>
      <c r="P366" t="s">
        <v>54</v>
      </c>
    </row>
    <row r="367" spans="1:16" x14ac:dyDescent="0.3">
      <c r="A367" t="s">
        <v>25</v>
      </c>
      <c r="B367" t="s">
        <v>235</v>
      </c>
      <c r="C367" t="s">
        <v>51</v>
      </c>
      <c r="D367" t="s">
        <v>153</v>
      </c>
      <c r="E367" s="2">
        <v>2861</v>
      </c>
      <c r="F367" s="2">
        <v>15</v>
      </c>
      <c r="G367">
        <v>2145.75</v>
      </c>
      <c r="H367" s="2">
        <v>40769.25</v>
      </c>
      <c r="I367" s="2">
        <v>12159.25</v>
      </c>
      <c r="J367" s="3">
        <v>44762</v>
      </c>
      <c r="K367" t="s">
        <v>44</v>
      </c>
      <c r="L367" t="s">
        <v>21</v>
      </c>
      <c r="M367">
        <v>2022</v>
      </c>
      <c r="N367" t="s">
        <v>236</v>
      </c>
      <c r="O367" t="s">
        <v>53</v>
      </c>
      <c r="P367" t="s">
        <v>36</v>
      </c>
    </row>
    <row r="368" spans="1:16" x14ac:dyDescent="0.3">
      <c r="A368" t="s">
        <v>16</v>
      </c>
      <c r="B368" t="s">
        <v>114</v>
      </c>
      <c r="C368" t="s">
        <v>51</v>
      </c>
      <c r="D368" t="s">
        <v>153</v>
      </c>
      <c r="E368" s="2">
        <v>807</v>
      </c>
      <c r="F368" s="2">
        <v>125</v>
      </c>
      <c r="G368">
        <v>5043.75</v>
      </c>
      <c r="H368" s="2">
        <v>95831.25</v>
      </c>
      <c r="I368" s="2">
        <v>-1008.75</v>
      </c>
      <c r="J368" s="3">
        <v>44841</v>
      </c>
      <c r="K368" t="s">
        <v>85</v>
      </c>
      <c r="L368" t="s">
        <v>72</v>
      </c>
      <c r="M368">
        <v>2022</v>
      </c>
      <c r="N368" t="s">
        <v>115</v>
      </c>
      <c r="O368" t="s">
        <v>53</v>
      </c>
      <c r="P368" t="s">
        <v>46</v>
      </c>
    </row>
    <row r="369" spans="1:16" x14ac:dyDescent="0.3">
      <c r="A369" t="s">
        <v>37</v>
      </c>
      <c r="B369" t="s">
        <v>138</v>
      </c>
      <c r="C369" t="s">
        <v>51</v>
      </c>
      <c r="D369" t="s">
        <v>153</v>
      </c>
      <c r="E369" s="2">
        <v>602</v>
      </c>
      <c r="F369" s="2">
        <v>350</v>
      </c>
      <c r="G369">
        <v>10535</v>
      </c>
      <c r="H369" s="2">
        <v>200165</v>
      </c>
      <c r="I369" s="2">
        <v>43645</v>
      </c>
      <c r="J369" s="3">
        <v>44584</v>
      </c>
      <c r="K369" t="s">
        <v>28</v>
      </c>
      <c r="L369" t="s">
        <v>29</v>
      </c>
      <c r="M369">
        <v>2022</v>
      </c>
      <c r="N369" t="s">
        <v>139</v>
      </c>
      <c r="O369" t="s">
        <v>53</v>
      </c>
      <c r="P369" t="s">
        <v>24</v>
      </c>
    </row>
    <row r="370" spans="1:16" x14ac:dyDescent="0.3">
      <c r="A370" t="s">
        <v>37</v>
      </c>
      <c r="B370" t="s">
        <v>138</v>
      </c>
      <c r="C370" t="s">
        <v>51</v>
      </c>
      <c r="D370" t="s">
        <v>153</v>
      </c>
      <c r="E370" s="2">
        <v>2832</v>
      </c>
      <c r="F370" s="2">
        <v>20</v>
      </c>
      <c r="G370">
        <v>2832</v>
      </c>
      <c r="H370" s="2">
        <v>53808</v>
      </c>
      <c r="I370" s="2">
        <v>25488</v>
      </c>
      <c r="J370" s="3">
        <v>44540</v>
      </c>
      <c r="K370" t="s">
        <v>75</v>
      </c>
      <c r="L370" t="s">
        <v>72</v>
      </c>
      <c r="M370">
        <v>2022</v>
      </c>
      <c r="N370" t="s">
        <v>139</v>
      </c>
      <c r="O370" t="s">
        <v>53</v>
      </c>
      <c r="P370" t="s">
        <v>24</v>
      </c>
    </row>
    <row r="371" spans="1:16" x14ac:dyDescent="0.3">
      <c r="A371" t="s">
        <v>37</v>
      </c>
      <c r="B371" t="s">
        <v>166</v>
      </c>
      <c r="C371" t="s">
        <v>51</v>
      </c>
      <c r="D371" t="s">
        <v>153</v>
      </c>
      <c r="E371" s="2">
        <v>1579</v>
      </c>
      <c r="F371" s="2">
        <v>20</v>
      </c>
      <c r="G371">
        <v>1579</v>
      </c>
      <c r="H371" s="2">
        <v>30001</v>
      </c>
      <c r="I371" s="2">
        <v>14211</v>
      </c>
      <c r="J371" s="3">
        <v>44878</v>
      </c>
      <c r="K371" t="s">
        <v>71</v>
      </c>
      <c r="L371" t="s">
        <v>72</v>
      </c>
      <c r="M371">
        <v>2022</v>
      </c>
      <c r="N371" t="s">
        <v>167</v>
      </c>
      <c r="O371" t="s">
        <v>53</v>
      </c>
      <c r="P371" t="s">
        <v>49</v>
      </c>
    </row>
    <row r="372" spans="1:16" x14ac:dyDescent="0.3">
      <c r="A372" t="s">
        <v>16</v>
      </c>
      <c r="B372" t="s">
        <v>81</v>
      </c>
      <c r="C372" t="s">
        <v>51</v>
      </c>
      <c r="D372" t="s">
        <v>153</v>
      </c>
      <c r="E372" s="2">
        <v>861</v>
      </c>
      <c r="F372" s="2">
        <v>125</v>
      </c>
      <c r="G372">
        <v>5381.25</v>
      </c>
      <c r="H372" s="2">
        <v>102243.75</v>
      </c>
      <c r="I372" s="2">
        <v>-1076.25</v>
      </c>
      <c r="J372" s="3">
        <v>44678</v>
      </c>
      <c r="K372" t="s">
        <v>67</v>
      </c>
      <c r="L372" t="s">
        <v>68</v>
      </c>
      <c r="M372">
        <v>2022</v>
      </c>
      <c r="N372" t="s">
        <v>83</v>
      </c>
      <c r="O372" t="s">
        <v>53</v>
      </c>
      <c r="P372" t="s">
        <v>54</v>
      </c>
    </row>
    <row r="373" spans="1:16" x14ac:dyDescent="0.3">
      <c r="A373" t="s">
        <v>33</v>
      </c>
      <c r="B373" t="s">
        <v>252</v>
      </c>
      <c r="C373" t="s">
        <v>51</v>
      </c>
      <c r="D373" t="s">
        <v>153</v>
      </c>
      <c r="E373" s="2">
        <v>1250</v>
      </c>
      <c r="F373" s="2">
        <v>300</v>
      </c>
      <c r="G373">
        <v>18750</v>
      </c>
      <c r="H373" s="2">
        <v>356250</v>
      </c>
      <c r="I373" s="2">
        <v>43750</v>
      </c>
      <c r="J373" s="3">
        <v>44706</v>
      </c>
      <c r="K373" t="s">
        <v>104</v>
      </c>
      <c r="L373" t="s">
        <v>68</v>
      </c>
      <c r="M373">
        <v>2022</v>
      </c>
      <c r="N373" t="s">
        <v>253</v>
      </c>
      <c r="O373" t="s">
        <v>53</v>
      </c>
      <c r="P373" t="s">
        <v>49</v>
      </c>
    </row>
    <row r="374" spans="1:16" x14ac:dyDescent="0.3">
      <c r="A374" t="s">
        <v>37</v>
      </c>
      <c r="B374" t="s">
        <v>122</v>
      </c>
      <c r="C374" t="s">
        <v>56</v>
      </c>
      <c r="D374" t="s">
        <v>153</v>
      </c>
      <c r="E374" s="2">
        <v>2663</v>
      </c>
      <c r="F374" s="2">
        <v>20</v>
      </c>
      <c r="G374">
        <v>2663</v>
      </c>
      <c r="H374" s="2">
        <v>50597</v>
      </c>
      <c r="I374" s="2">
        <v>23967</v>
      </c>
      <c r="J374" s="3">
        <v>44789</v>
      </c>
      <c r="K374" t="s">
        <v>39</v>
      </c>
      <c r="L374" t="s">
        <v>21</v>
      </c>
      <c r="M374">
        <v>2022</v>
      </c>
      <c r="N374" t="s">
        <v>123</v>
      </c>
      <c r="O374" t="s">
        <v>59</v>
      </c>
      <c r="P374" t="s">
        <v>24</v>
      </c>
    </row>
    <row r="375" spans="1:16" x14ac:dyDescent="0.3">
      <c r="A375" t="s">
        <v>37</v>
      </c>
      <c r="B375" t="s">
        <v>122</v>
      </c>
      <c r="C375" t="s">
        <v>56</v>
      </c>
      <c r="D375" t="s">
        <v>153</v>
      </c>
      <c r="E375" s="2">
        <v>570</v>
      </c>
      <c r="F375" s="2">
        <v>7</v>
      </c>
      <c r="G375">
        <v>199.5</v>
      </c>
      <c r="H375" s="2">
        <v>3790.5</v>
      </c>
      <c r="I375" s="2">
        <v>940.5</v>
      </c>
      <c r="J375" s="3">
        <v>44858</v>
      </c>
      <c r="K375" t="s">
        <v>85</v>
      </c>
      <c r="L375" t="s">
        <v>72</v>
      </c>
      <c r="M375">
        <v>2022</v>
      </c>
      <c r="N375" t="s">
        <v>123</v>
      </c>
      <c r="O375" t="s">
        <v>59</v>
      </c>
      <c r="P375" t="s">
        <v>24</v>
      </c>
    </row>
    <row r="376" spans="1:16" x14ac:dyDescent="0.3">
      <c r="A376" t="s">
        <v>37</v>
      </c>
      <c r="B376" t="s">
        <v>55</v>
      </c>
      <c r="C376" t="s">
        <v>56</v>
      </c>
      <c r="D376" t="s">
        <v>153</v>
      </c>
      <c r="E376" s="2">
        <v>2487</v>
      </c>
      <c r="F376" s="2">
        <v>7</v>
      </c>
      <c r="G376">
        <v>870.45</v>
      </c>
      <c r="H376" s="2">
        <v>16538.55</v>
      </c>
      <c r="I376" s="2">
        <v>4103.5499999999993</v>
      </c>
      <c r="J376" s="3">
        <v>44647</v>
      </c>
      <c r="K376" t="s">
        <v>82</v>
      </c>
      <c r="L376" t="s">
        <v>29</v>
      </c>
      <c r="M376">
        <v>2022</v>
      </c>
      <c r="N376" t="s">
        <v>58</v>
      </c>
      <c r="O376" t="s">
        <v>59</v>
      </c>
      <c r="P376" t="s">
        <v>60</v>
      </c>
    </row>
    <row r="377" spans="1:16" x14ac:dyDescent="0.3">
      <c r="A377" t="s">
        <v>37</v>
      </c>
      <c r="B377" t="s">
        <v>126</v>
      </c>
      <c r="C377" t="s">
        <v>90</v>
      </c>
      <c r="D377" t="s">
        <v>153</v>
      </c>
      <c r="E377" s="2">
        <v>1350</v>
      </c>
      <c r="F377" s="2">
        <v>350</v>
      </c>
      <c r="G377">
        <v>23625</v>
      </c>
      <c r="H377" s="2">
        <v>448875</v>
      </c>
      <c r="I377" s="2">
        <v>97875</v>
      </c>
      <c r="J377" s="3">
        <v>44913</v>
      </c>
      <c r="K377" t="s">
        <v>75</v>
      </c>
      <c r="L377" t="s">
        <v>72</v>
      </c>
      <c r="M377">
        <v>2022</v>
      </c>
      <c r="N377" t="s">
        <v>127</v>
      </c>
      <c r="O377" t="s">
        <v>92</v>
      </c>
      <c r="P377" t="s">
        <v>36</v>
      </c>
    </row>
    <row r="378" spans="1:16" x14ac:dyDescent="0.3">
      <c r="A378" t="s">
        <v>37</v>
      </c>
      <c r="B378" t="s">
        <v>151</v>
      </c>
      <c r="C378" t="s">
        <v>90</v>
      </c>
      <c r="D378" t="s">
        <v>153</v>
      </c>
      <c r="E378" s="2">
        <v>552</v>
      </c>
      <c r="F378" s="2">
        <v>350</v>
      </c>
      <c r="G378">
        <v>9660</v>
      </c>
      <c r="H378" s="2">
        <v>183540</v>
      </c>
      <c r="I378" s="2">
        <v>40020</v>
      </c>
      <c r="J378" s="3">
        <v>44437</v>
      </c>
      <c r="K378" t="s">
        <v>39</v>
      </c>
      <c r="L378" t="s">
        <v>21</v>
      </c>
      <c r="M378">
        <v>2022</v>
      </c>
      <c r="N378" t="s">
        <v>152</v>
      </c>
      <c r="O378" t="s">
        <v>92</v>
      </c>
      <c r="P378" t="s">
        <v>54</v>
      </c>
    </row>
    <row r="379" spans="1:16" x14ac:dyDescent="0.3">
      <c r="A379" t="s">
        <v>33</v>
      </c>
      <c r="B379" t="s">
        <v>280</v>
      </c>
      <c r="C379" t="s">
        <v>90</v>
      </c>
      <c r="D379" t="s">
        <v>153</v>
      </c>
      <c r="E379" s="2">
        <v>1250</v>
      </c>
      <c r="F379" s="2">
        <v>300</v>
      </c>
      <c r="G379">
        <v>18750</v>
      </c>
      <c r="H379" s="2">
        <v>356250</v>
      </c>
      <c r="I379" s="2">
        <v>43750</v>
      </c>
      <c r="J379" s="3">
        <v>44788</v>
      </c>
      <c r="K379" t="s">
        <v>39</v>
      </c>
      <c r="L379" t="s">
        <v>21</v>
      </c>
      <c r="M379">
        <v>2022</v>
      </c>
      <c r="N379" t="s">
        <v>253</v>
      </c>
      <c r="O379" t="s">
        <v>92</v>
      </c>
      <c r="P379" t="s">
        <v>49</v>
      </c>
    </row>
    <row r="380" spans="1:16" x14ac:dyDescent="0.3">
      <c r="A380" t="s">
        <v>25</v>
      </c>
      <c r="B380" t="s">
        <v>26</v>
      </c>
      <c r="C380" t="s">
        <v>27</v>
      </c>
      <c r="D380" t="s">
        <v>153</v>
      </c>
      <c r="E380" s="2">
        <v>3801</v>
      </c>
      <c r="F380" s="2">
        <v>15</v>
      </c>
      <c r="G380">
        <v>3420.8999999999996</v>
      </c>
      <c r="H380" s="2">
        <v>53594.100000000006</v>
      </c>
      <c r="I380" s="2">
        <v>15584.100000000002</v>
      </c>
      <c r="J380" s="3">
        <v>44639</v>
      </c>
      <c r="K380" t="s">
        <v>82</v>
      </c>
      <c r="L380" t="s">
        <v>29</v>
      </c>
      <c r="M380">
        <v>2022</v>
      </c>
      <c r="N380" t="s">
        <v>30</v>
      </c>
      <c r="O380" t="s">
        <v>31</v>
      </c>
      <c r="P380" t="s">
        <v>32</v>
      </c>
    </row>
    <row r="381" spans="1:16" x14ac:dyDescent="0.3">
      <c r="A381" t="s">
        <v>37</v>
      </c>
      <c r="B381" t="s">
        <v>172</v>
      </c>
      <c r="C381" t="s">
        <v>62</v>
      </c>
      <c r="D381" t="s">
        <v>153</v>
      </c>
      <c r="E381" s="2">
        <v>1117.5</v>
      </c>
      <c r="F381" s="2">
        <v>20</v>
      </c>
      <c r="G381">
        <v>1341</v>
      </c>
      <c r="H381" s="2">
        <v>21009</v>
      </c>
      <c r="I381" s="2">
        <v>9834</v>
      </c>
      <c r="J381" s="3">
        <v>44359</v>
      </c>
      <c r="K381" t="s">
        <v>146</v>
      </c>
      <c r="L381" t="s">
        <v>68</v>
      </c>
      <c r="M381">
        <v>2022</v>
      </c>
      <c r="N381" t="s">
        <v>173</v>
      </c>
      <c r="O381" t="s">
        <v>65</v>
      </c>
      <c r="P381" t="s">
        <v>24</v>
      </c>
    </row>
    <row r="382" spans="1:16" x14ac:dyDescent="0.3">
      <c r="A382" t="s">
        <v>25</v>
      </c>
      <c r="B382" t="s">
        <v>233</v>
      </c>
      <c r="C382" t="s">
        <v>62</v>
      </c>
      <c r="D382" t="s">
        <v>153</v>
      </c>
      <c r="E382" s="2">
        <v>2844</v>
      </c>
      <c r="F382" s="2">
        <v>15</v>
      </c>
      <c r="G382">
        <v>2559.6</v>
      </c>
      <c r="H382" s="2">
        <v>40100.400000000001</v>
      </c>
      <c r="I382" s="2">
        <v>11660.400000000001</v>
      </c>
      <c r="J382" s="3">
        <v>44404</v>
      </c>
      <c r="K382" t="s">
        <v>44</v>
      </c>
      <c r="L382" t="s">
        <v>21</v>
      </c>
      <c r="M382">
        <v>2022</v>
      </c>
      <c r="N382" t="s">
        <v>234</v>
      </c>
      <c r="O382" t="s">
        <v>65</v>
      </c>
      <c r="P382" t="s">
        <v>32</v>
      </c>
    </row>
    <row r="383" spans="1:16" x14ac:dyDescent="0.3">
      <c r="A383" t="s">
        <v>42</v>
      </c>
      <c r="B383" t="s">
        <v>210</v>
      </c>
      <c r="C383" t="s">
        <v>62</v>
      </c>
      <c r="D383" t="s">
        <v>153</v>
      </c>
      <c r="E383" s="2">
        <v>562</v>
      </c>
      <c r="F383" s="2">
        <v>12</v>
      </c>
      <c r="G383">
        <v>404.64</v>
      </c>
      <c r="H383" s="2">
        <v>6339.36</v>
      </c>
      <c r="I383" s="2">
        <v>4653.3599999999997</v>
      </c>
      <c r="J383" s="3">
        <v>44523</v>
      </c>
      <c r="K383" t="s">
        <v>71</v>
      </c>
      <c r="L383" t="s">
        <v>72</v>
      </c>
      <c r="M383">
        <v>2022</v>
      </c>
      <c r="N383" t="s">
        <v>211</v>
      </c>
      <c r="O383" t="s">
        <v>65</v>
      </c>
      <c r="P383" t="s">
        <v>46</v>
      </c>
    </row>
    <row r="384" spans="1:16" x14ac:dyDescent="0.3">
      <c r="A384" t="s">
        <v>25</v>
      </c>
      <c r="B384" t="s">
        <v>290</v>
      </c>
      <c r="C384" t="s">
        <v>62</v>
      </c>
      <c r="D384" t="s">
        <v>153</v>
      </c>
      <c r="E384" s="2">
        <v>2030</v>
      </c>
      <c r="F384" s="2">
        <v>15</v>
      </c>
      <c r="G384">
        <v>1827</v>
      </c>
      <c r="H384" s="2">
        <v>28623</v>
      </c>
      <c r="I384" s="2">
        <v>8323</v>
      </c>
      <c r="J384" s="3">
        <v>44403</v>
      </c>
      <c r="K384" t="s">
        <v>44</v>
      </c>
      <c r="L384" t="s">
        <v>21</v>
      </c>
      <c r="M384">
        <v>2022</v>
      </c>
      <c r="N384" t="s">
        <v>230</v>
      </c>
      <c r="O384" t="s">
        <v>65</v>
      </c>
      <c r="P384" t="s">
        <v>60</v>
      </c>
    </row>
    <row r="385" spans="1:16" x14ac:dyDescent="0.3">
      <c r="A385" t="s">
        <v>37</v>
      </c>
      <c r="B385" t="s">
        <v>156</v>
      </c>
      <c r="C385" t="s">
        <v>18</v>
      </c>
      <c r="D385" t="s">
        <v>153</v>
      </c>
      <c r="E385" s="2">
        <v>980</v>
      </c>
      <c r="F385" s="2">
        <v>350</v>
      </c>
      <c r="G385">
        <v>20580</v>
      </c>
      <c r="H385" s="2">
        <v>322420</v>
      </c>
      <c r="I385" s="2">
        <v>67620</v>
      </c>
      <c r="J385" s="3">
        <v>44757</v>
      </c>
      <c r="K385" t="s">
        <v>44</v>
      </c>
      <c r="L385" t="s">
        <v>21</v>
      </c>
      <c r="M385">
        <v>2022</v>
      </c>
      <c r="N385" t="s">
        <v>157</v>
      </c>
      <c r="O385" t="s">
        <v>23</v>
      </c>
      <c r="P385" t="s">
        <v>24</v>
      </c>
    </row>
    <row r="386" spans="1:16" x14ac:dyDescent="0.3">
      <c r="A386" t="s">
        <v>37</v>
      </c>
      <c r="B386" t="s">
        <v>130</v>
      </c>
      <c r="C386" t="s">
        <v>18</v>
      </c>
      <c r="D386" t="s">
        <v>153</v>
      </c>
      <c r="E386" s="2">
        <v>1460</v>
      </c>
      <c r="F386" s="2">
        <v>350</v>
      </c>
      <c r="G386">
        <v>30660</v>
      </c>
      <c r="H386" s="2">
        <v>480340</v>
      </c>
      <c r="I386" s="2">
        <v>100740</v>
      </c>
      <c r="J386" s="3">
        <v>44698</v>
      </c>
      <c r="K386" t="s">
        <v>104</v>
      </c>
      <c r="L386" t="s">
        <v>68</v>
      </c>
      <c r="M386">
        <v>2022</v>
      </c>
      <c r="N386" t="s">
        <v>131</v>
      </c>
      <c r="O386" t="s">
        <v>23</v>
      </c>
      <c r="P386" t="s">
        <v>46</v>
      </c>
    </row>
    <row r="387" spans="1:16" x14ac:dyDescent="0.3">
      <c r="A387" t="s">
        <v>42</v>
      </c>
      <c r="B387" t="s">
        <v>273</v>
      </c>
      <c r="C387" t="s">
        <v>18</v>
      </c>
      <c r="D387" t="s">
        <v>153</v>
      </c>
      <c r="E387" s="2">
        <v>2723</v>
      </c>
      <c r="F387" s="2">
        <v>12</v>
      </c>
      <c r="G387">
        <v>1960.56</v>
      </c>
      <c r="H387" s="2">
        <v>30715.439999999999</v>
      </c>
      <c r="I387" s="2">
        <v>22546.44</v>
      </c>
      <c r="J387" s="3">
        <v>44885</v>
      </c>
      <c r="K387" t="s">
        <v>71</v>
      </c>
      <c r="L387" t="s">
        <v>72</v>
      </c>
      <c r="M387">
        <v>2022</v>
      </c>
      <c r="N387" t="s">
        <v>243</v>
      </c>
      <c r="O387" t="s">
        <v>23</v>
      </c>
      <c r="P387" t="s">
        <v>54</v>
      </c>
    </row>
    <row r="388" spans="1:16" x14ac:dyDescent="0.3">
      <c r="A388" t="s">
        <v>37</v>
      </c>
      <c r="B388" t="s">
        <v>162</v>
      </c>
      <c r="C388" t="s">
        <v>27</v>
      </c>
      <c r="D388" t="s">
        <v>153</v>
      </c>
      <c r="E388" s="2">
        <v>1496</v>
      </c>
      <c r="F388" s="2">
        <v>350</v>
      </c>
      <c r="G388">
        <v>31416</v>
      </c>
      <c r="H388" s="2">
        <v>492184</v>
      </c>
      <c r="I388" s="2">
        <v>103224</v>
      </c>
      <c r="J388" s="3">
        <v>44256</v>
      </c>
      <c r="K388" t="s">
        <v>82</v>
      </c>
      <c r="L388" t="s">
        <v>29</v>
      </c>
      <c r="M388">
        <v>2022</v>
      </c>
      <c r="N388" t="s">
        <v>163</v>
      </c>
      <c r="O388" t="s">
        <v>31</v>
      </c>
      <c r="P388" t="s">
        <v>41</v>
      </c>
    </row>
    <row r="389" spans="1:16" x14ac:dyDescent="0.3">
      <c r="A389" t="s">
        <v>16</v>
      </c>
      <c r="B389" t="s">
        <v>50</v>
      </c>
      <c r="C389" t="s">
        <v>51</v>
      </c>
      <c r="D389" t="s">
        <v>153</v>
      </c>
      <c r="E389" s="2">
        <v>952</v>
      </c>
      <c r="F389" s="2">
        <v>125</v>
      </c>
      <c r="G389">
        <v>7140</v>
      </c>
      <c r="H389" s="2">
        <v>111860</v>
      </c>
      <c r="I389" s="2">
        <v>-2380</v>
      </c>
      <c r="J389" s="3">
        <v>44876</v>
      </c>
      <c r="K389" t="s">
        <v>71</v>
      </c>
      <c r="L389" t="s">
        <v>72</v>
      </c>
      <c r="M389">
        <v>2022</v>
      </c>
      <c r="N389" t="s">
        <v>52</v>
      </c>
      <c r="O389" t="s">
        <v>53</v>
      </c>
      <c r="P389" t="s">
        <v>54</v>
      </c>
    </row>
    <row r="390" spans="1:16" x14ac:dyDescent="0.3">
      <c r="A390" t="s">
        <v>16</v>
      </c>
      <c r="B390" t="s">
        <v>81</v>
      </c>
      <c r="C390" t="s">
        <v>51</v>
      </c>
      <c r="D390" t="s">
        <v>153</v>
      </c>
      <c r="E390" s="2">
        <v>2755</v>
      </c>
      <c r="F390" s="2">
        <v>125</v>
      </c>
      <c r="G390">
        <v>20662.5</v>
      </c>
      <c r="H390" s="2">
        <v>323712.5</v>
      </c>
      <c r="I390" s="2">
        <v>-6887.5</v>
      </c>
      <c r="J390" s="3">
        <v>44425</v>
      </c>
      <c r="K390" t="s">
        <v>39</v>
      </c>
      <c r="L390" t="s">
        <v>21</v>
      </c>
      <c r="M390">
        <v>2022</v>
      </c>
      <c r="N390" t="s">
        <v>83</v>
      </c>
      <c r="O390" t="s">
        <v>53</v>
      </c>
      <c r="P390" t="s">
        <v>54</v>
      </c>
    </row>
    <row r="391" spans="1:16" x14ac:dyDescent="0.3">
      <c r="A391" t="s">
        <v>25</v>
      </c>
      <c r="B391" t="s">
        <v>244</v>
      </c>
      <c r="C391" t="s">
        <v>51</v>
      </c>
      <c r="D391" t="s">
        <v>153</v>
      </c>
      <c r="E391" s="2">
        <v>1530</v>
      </c>
      <c r="F391" s="2">
        <v>15</v>
      </c>
      <c r="G391">
        <v>1377</v>
      </c>
      <c r="H391" s="2">
        <v>21573</v>
      </c>
      <c r="I391" s="2">
        <v>6273</v>
      </c>
      <c r="J391" s="3">
        <v>44797</v>
      </c>
      <c r="K391" t="s">
        <v>39</v>
      </c>
      <c r="L391" t="s">
        <v>21</v>
      </c>
      <c r="M391">
        <v>2022</v>
      </c>
      <c r="N391" t="s">
        <v>245</v>
      </c>
      <c r="O391" t="s">
        <v>53</v>
      </c>
      <c r="P391" t="s">
        <v>60</v>
      </c>
    </row>
    <row r="392" spans="1:16" x14ac:dyDescent="0.3">
      <c r="A392" t="s">
        <v>37</v>
      </c>
      <c r="B392" t="s">
        <v>166</v>
      </c>
      <c r="C392" t="s">
        <v>51</v>
      </c>
      <c r="D392" t="s">
        <v>153</v>
      </c>
      <c r="E392" s="2">
        <v>1496</v>
      </c>
      <c r="F392" s="2">
        <v>350</v>
      </c>
      <c r="G392">
        <v>31416</v>
      </c>
      <c r="H392" s="2">
        <v>492184</v>
      </c>
      <c r="I392" s="2">
        <v>103224</v>
      </c>
      <c r="J392" s="3">
        <v>44330</v>
      </c>
      <c r="K392" t="s">
        <v>104</v>
      </c>
      <c r="L392" t="s">
        <v>68</v>
      </c>
      <c r="M392">
        <v>2022</v>
      </c>
      <c r="N392" t="s">
        <v>167</v>
      </c>
      <c r="O392" t="s">
        <v>53</v>
      </c>
      <c r="P392" t="s">
        <v>49</v>
      </c>
    </row>
    <row r="393" spans="1:16" x14ac:dyDescent="0.3">
      <c r="A393" t="s">
        <v>37</v>
      </c>
      <c r="B393" t="s">
        <v>118</v>
      </c>
      <c r="C393" t="s">
        <v>51</v>
      </c>
      <c r="D393" t="s">
        <v>153</v>
      </c>
      <c r="E393" s="2">
        <v>1498</v>
      </c>
      <c r="F393" s="2">
        <v>7</v>
      </c>
      <c r="G393">
        <v>629.16</v>
      </c>
      <c r="H393" s="2">
        <v>9856.84</v>
      </c>
      <c r="I393" s="2">
        <v>2366.84</v>
      </c>
      <c r="J393" s="3">
        <v>44572</v>
      </c>
      <c r="K393" t="s">
        <v>28</v>
      </c>
      <c r="L393" t="s">
        <v>29</v>
      </c>
      <c r="M393">
        <v>2022</v>
      </c>
      <c r="N393" t="s">
        <v>119</v>
      </c>
      <c r="O393" t="s">
        <v>53</v>
      </c>
      <c r="P393" t="s">
        <v>54</v>
      </c>
    </row>
    <row r="394" spans="1:16" x14ac:dyDescent="0.3">
      <c r="A394" t="s">
        <v>25</v>
      </c>
      <c r="B394" t="s">
        <v>291</v>
      </c>
      <c r="C394" t="s">
        <v>56</v>
      </c>
      <c r="D394" t="s">
        <v>153</v>
      </c>
      <c r="E394" s="2">
        <v>2844</v>
      </c>
      <c r="F394" s="2">
        <v>15</v>
      </c>
      <c r="G394">
        <v>2559.6</v>
      </c>
      <c r="H394" s="2">
        <v>40100.400000000001</v>
      </c>
      <c r="I394" s="2">
        <v>11660.400000000001</v>
      </c>
      <c r="J394" s="3">
        <v>44521</v>
      </c>
      <c r="K394" t="s">
        <v>71</v>
      </c>
      <c r="L394" t="s">
        <v>72</v>
      </c>
      <c r="M394">
        <v>2022</v>
      </c>
      <c r="N394" t="s">
        <v>232</v>
      </c>
      <c r="O394" t="s">
        <v>59</v>
      </c>
      <c r="P394" t="s">
        <v>24</v>
      </c>
    </row>
    <row r="395" spans="1:16" x14ac:dyDescent="0.3">
      <c r="A395" t="s">
        <v>37</v>
      </c>
      <c r="B395" t="s">
        <v>124</v>
      </c>
      <c r="C395" t="s">
        <v>56</v>
      </c>
      <c r="D395" t="s">
        <v>153</v>
      </c>
      <c r="E395" s="2">
        <v>1498</v>
      </c>
      <c r="F395" s="2">
        <v>7</v>
      </c>
      <c r="G395">
        <v>629.16</v>
      </c>
      <c r="H395" s="2">
        <v>9856.84</v>
      </c>
      <c r="I395" s="2">
        <v>2366.84</v>
      </c>
      <c r="J395" s="3">
        <v>44270</v>
      </c>
      <c r="K395" t="s">
        <v>82</v>
      </c>
      <c r="L395" t="s">
        <v>29</v>
      </c>
      <c r="M395">
        <v>2022</v>
      </c>
      <c r="N395" t="s">
        <v>125</v>
      </c>
      <c r="O395" t="s">
        <v>59</v>
      </c>
      <c r="P395" t="s">
        <v>32</v>
      </c>
    </row>
    <row r="396" spans="1:16" x14ac:dyDescent="0.3">
      <c r="A396" t="s">
        <v>16</v>
      </c>
      <c r="B396" t="s">
        <v>292</v>
      </c>
      <c r="C396" t="s">
        <v>90</v>
      </c>
      <c r="D396" t="s">
        <v>153</v>
      </c>
      <c r="E396" s="2">
        <v>1987.5</v>
      </c>
      <c r="F396" s="2">
        <v>125</v>
      </c>
      <c r="G396">
        <v>14906.25</v>
      </c>
      <c r="H396" s="2">
        <v>233531.25</v>
      </c>
      <c r="I396" s="2">
        <v>-4968.75</v>
      </c>
      <c r="J396" s="3">
        <v>44740</v>
      </c>
      <c r="K396" t="s">
        <v>146</v>
      </c>
      <c r="L396" t="s">
        <v>68</v>
      </c>
      <c r="M396">
        <v>2022</v>
      </c>
      <c r="N396" t="s">
        <v>234</v>
      </c>
      <c r="O396" t="s">
        <v>92</v>
      </c>
      <c r="P396" t="s">
        <v>32</v>
      </c>
    </row>
    <row r="397" spans="1:16" x14ac:dyDescent="0.3">
      <c r="A397" t="s">
        <v>37</v>
      </c>
      <c r="B397" t="s">
        <v>239</v>
      </c>
      <c r="C397" t="s">
        <v>90</v>
      </c>
      <c r="D397" t="s">
        <v>153</v>
      </c>
      <c r="E397" s="2">
        <v>1679</v>
      </c>
      <c r="F397" s="2">
        <v>350</v>
      </c>
      <c r="G397">
        <v>35259</v>
      </c>
      <c r="H397" s="2">
        <v>552391</v>
      </c>
      <c r="I397" s="2">
        <v>115851</v>
      </c>
      <c r="J397" s="3">
        <v>44518</v>
      </c>
      <c r="K397" t="s">
        <v>71</v>
      </c>
      <c r="L397" t="s">
        <v>72</v>
      </c>
      <c r="M397">
        <v>2022</v>
      </c>
      <c r="N397" t="s">
        <v>173</v>
      </c>
      <c r="O397" t="s">
        <v>92</v>
      </c>
      <c r="P397" t="s">
        <v>46</v>
      </c>
    </row>
    <row r="398" spans="1:16" x14ac:dyDescent="0.3">
      <c r="A398" t="s">
        <v>25</v>
      </c>
      <c r="B398" t="s">
        <v>108</v>
      </c>
      <c r="C398" t="s">
        <v>27</v>
      </c>
      <c r="D398" t="s">
        <v>153</v>
      </c>
      <c r="E398" s="2">
        <v>2198</v>
      </c>
      <c r="F398" s="2">
        <v>15</v>
      </c>
      <c r="G398">
        <v>1978.2</v>
      </c>
      <c r="H398" s="2">
        <v>30991.8</v>
      </c>
      <c r="I398" s="2">
        <v>9011.7999999999993</v>
      </c>
      <c r="J398" s="3">
        <v>44854</v>
      </c>
      <c r="K398" t="s">
        <v>85</v>
      </c>
      <c r="L398" t="s">
        <v>72</v>
      </c>
      <c r="M398">
        <v>2022</v>
      </c>
      <c r="N398" t="s">
        <v>109</v>
      </c>
      <c r="O398" t="s">
        <v>31</v>
      </c>
      <c r="P398" t="s">
        <v>32</v>
      </c>
    </row>
    <row r="399" spans="1:16" x14ac:dyDescent="0.3">
      <c r="A399" t="s">
        <v>25</v>
      </c>
      <c r="B399" t="s">
        <v>132</v>
      </c>
      <c r="C399" t="s">
        <v>27</v>
      </c>
      <c r="D399" t="s">
        <v>153</v>
      </c>
      <c r="E399" s="2">
        <v>1743</v>
      </c>
      <c r="F399" s="2">
        <v>15</v>
      </c>
      <c r="G399">
        <v>1568.7</v>
      </c>
      <c r="H399" s="2">
        <v>24576.3</v>
      </c>
      <c r="I399" s="2">
        <v>7146.2999999999993</v>
      </c>
      <c r="J399" s="3">
        <v>44636</v>
      </c>
      <c r="K399" t="s">
        <v>82</v>
      </c>
      <c r="L399" t="s">
        <v>29</v>
      </c>
      <c r="M399">
        <v>2022</v>
      </c>
      <c r="N399" t="s">
        <v>133</v>
      </c>
      <c r="O399" t="s">
        <v>31</v>
      </c>
      <c r="P399" t="s">
        <v>49</v>
      </c>
    </row>
    <row r="400" spans="1:16" x14ac:dyDescent="0.3">
      <c r="A400" t="s">
        <v>25</v>
      </c>
      <c r="B400" t="s">
        <v>108</v>
      </c>
      <c r="C400" t="s">
        <v>27</v>
      </c>
      <c r="D400" t="s">
        <v>153</v>
      </c>
      <c r="E400" s="2">
        <v>1153</v>
      </c>
      <c r="F400" s="2">
        <v>15</v>
      </c>
      <c r="G400">
        <v>1037.7</v>
      </c>
      <c r="H400" s="2">
        <v>16257.3</v>
      </c>
      <c r="I400" s="2">
        <v>4727.2999999999993</v>
      </c>
      <c r="J400" s="3">
        <v>44518</v>
      </c>
      <c r="K400" t="s">
        <v>71</v>
      </c>
      <c r="L400" t="s">
        <v>72</v>
      </c>
      <c r="M400">
        <v>2022</v>
      </c>
      <c r="N400" t="s">
        <v>109</v>
      </c>
      <c r="O400" t="s">
        <v>31</v>
      </c>
      <c r="P400" t="s">
        <v>32</v>
      </c>
    </row>
    <row r="401" spans="1:16" x14ac:dyDescent="0.3">
      <c r="A401" t="s">
        <v>37</v>
      </c>
      <c r="B401" t="s">
        <v>112</v>
      </c>
      <c r="C401" t="s">
        <v>51</v>
      </c>
      <c r="D401" t="s">
        <v>153</v>
      </c>
      <c r="E401" s="2">
        <v>1001</v>
      </c>
      <c r="F401" s="2">
        <v>20</v>
      </c>
      <c r="G401">
        <v>1201.2</v>
      </c>
      <c r="H401" s="2">
        <v>18818.8</v>
      </c>
      <c r="I401" s="2">
        <v>8808.7999999999993</v>
      </c>
      <c r="J401" s="3">
        <v>44895</v>
      </c>
      <c r="K401" t="s">
        <v>71</v>
      </c>
      <c r="L401" t="s">
        <v>72</v>
      </c>
      <c r="M401">
        <v>2022</v>
      </c>
      <c r="N401" t="s">
        <v>113</v>
      </c>
      <c r="O401" t="s">
        <v>53</v>
      </c>
      <c r="P401" t="s">
        <v>41</v>
      </c>
    </row>
    <row r="402" spans="1:16" x14ac:dyDescent="0.3">
      <c r="A402" t="s">
        <v>37</v>
      </c>
      <c r="B402" t="s">
        <v>118</v>
      </c>
      <c r="C402" t="s">
        <v>51</v>
      </c>
      <c r="D402" t="s">
        <v>153</v>
      </c>
      <c r="E402" s="2">
        <v>1333</v>
      </c>
      <c r="F402" s="2">
        <v>7</v>
      </c>
      <c r="G402">
        <v>559.86</v>
      </c>
      <c r="H402" s="2">
        <v>8771.14</v>
      </c>
      <c r="I402" s="2">
        <v>2106.1399999999994</v>
      </c>
      <c r="J402" s="3">
        <v>44364</v>
      </c>
      <c r="K402" t="s">
        <v>146</v>
      </c>
      <c r="L402" t="s">
        <v>68</v>
      </c>
      <c r="M402">
        <v>2022</v>
      </c>
      <c r="N402" t="s">
        <v>119</v>
      </c>
      <c r="O402" t="s">
        <v>53</v>
      </c>
      <c r="P402" t="s">
        <v>54</v>
      </c>
    </row>
    <row r="403" spans="1:16" x14ac:dyDescent="0.3">
      <c r="A403" t="s">
        <v>25</v>
      </c>
      <c r="B403" t="s">
        <v>293</v>
      </c>
      <c r="C403" t="s">
        <v>56</v>
      </c>
      <c r="D403" t="s">
        <v>153</v>
      </c>
      <c r="E403" s="2">
        <v>1153</v>
      </c>
      <c r="F403" s="2">
        <v>15</v>
      </c>
      <c r="G403">
        <v>1037.7</v>
      </c>
      <c r="H403" s="2">
        <v>16257.3</v>
      </c>
      <c r="I403" s="2">
        <v>4727.2999999999993</v>
      </c>
      <c r="J403" s="3">
        <v>44847</v>
      </c>
      <c r="K403" t="s">
        <v>85</v>
      </c>
      <c r="L403" t="s">
        <v>72</v>
      </c>
      <c r="M403">
        <v>2022</v>
      </c>
      <c r="N403" t="s">
        <v>236</v>
      </c>
      <c r="O403" t="s">
        <v>59</v>
      </c>
      <c r="P403" t="s">
        <v>36</v>
      </c>
    </row>
    <row r="404" spans="1:16" x14ac:dyDescent="0.3">
      <c r="A404" t="s">
        <v>42</v>
      </c>
      <c r="B404" t="s">
        <v>210</v>
      </c>
      <c r="C404" t="s">
        <v>62</v>
      </c>
      <c r="D404" t="s">
        <v>153</v>
      </c>
      <c r="E404" s="2">
        <v>727</v>
      </c>
      <c r="F404" s="2">
        <v>12</v>
      </c>
      <c r="G404">
        <v>610.67999999999995</v>
      </c>
      <c r="H404" s="2">
        <v>8113.32</v>
      </c>
      <c r="I404" s="2">
        <v>5932.32</v>
      </c>
      <c r="J404" s="3">
        <v>44793</v>
      </c>
      <c r="K404" t="s">
        <v>39</v>
      </c>
      <c r="L404" t="s">
        <v>21</v>
      </c>
      <c r="M404">
        <v>2022</v>
      </c>
      <c r="N404" t="s">
        <v>211</v>
      </c>
      <c r="O404" t="s">
        <v>65</v>
      </c>
      <c r="P404" t="s">
        <v>46</v>
      </c>
    </row>
    <row r="405" spans="1:16" x14ac:dyDescent="0.3">
      <c r="A405" t="s">
        <v>42</v>
      </c>
      <c r="B405" t="s">
        <v>128</v>
      </c>
      <c r="C405" t="s">
        <v>62</v>
      </c>
      <c r="D405" t="s">
        <v>153</v>
      </c>
      <c r="E405" s="2">
        <v>1884</v>
      </c>
      <c r="F405" s="2">
        <v>12</v>
      </c>
      <c r="G405">
        <v>1582.56</v>
      </c>
      <c r="H405" s="2">
        <v>21025.439999999999</v>
      </c>
      <c r="I405" s="2">
        <v>15373.439999999999</v>
      </c>
      <c r="J405" s="3">
        <v>44310</v>
      </c>
      <c r="K405" t="s">
        <v>67</v>
      </c>
      <c r="L405" t="s">
        <v>68</v>
      </c>
      <c r="M405">
        <v>2022</v>
      </c>
      <c r="N405" t="s">
        <v>129</v>
      </c>
      <c r="O405" t="s">
        <v>65</v>
      </c>
      <c r="P405" t="s">
        <v>41</v>
      </c>
    </row>
    <row r="406" spans="1:16" x14ac:dyDescent="0.3">
      <c r="A406" t="s">
        <v>42</v>
      </c>
      <c r="B406" t="s">
        <v>274</v>
      </c>
      <c r="C406" t="s">
        <v>18</v>
      </c>
      <c r="D406" t="s">
        <v>153</v>
      </c>
      <c r="E406" s="2">
        <v>2340</v>
      </c>
      <c r="F406" s="2">
        <v>12</v>
      </c>
      <c r="G406">
        <v>1965.6</v>
      </c>
      <c r="H406" s="2">
        <v>26114.400000000001</v>
      </c>
      <c r="I406" s="2">
        <v>19094.400000000001</v>
      </c>
      <c r="J406" s="3">
        <v>44628</v>
      </c>
      <c r="K406" t="s">
        <v>82</v>
      </c>
      <c r="L406" t="s">
        <v>29</v>
      </c>
      <c r="M406">
        <v>2022</v>
      </c>
      <c r="N406" t="s">
        <v>201</v>
      </c>
      <c r="O406" t="s">
        <v>23</v>
      </c>
      <c r="P406" t="s">
        <v>60</v>
      </c>
    </row>
    <row r="407" spans="1:16" x14ac:dyDescent="0.3">
      <c r="A407" t="s">
        <v>42</v>
      </c>
      <c r="B407" t="s">
        <v>283</v>
      </c>
      <c r="C407" t="s">
        <v>18</v>
      </c>
      <c r="D407" t="s">
        <v>153</v>
      </c>
      <c r="E407" s="2">
        <v>2342</v>
      </c>
      <c r="F407" s="2">
        <v>12</v>
      </c>
      <c r="G407">
        <v>1967.28</v>
      </c>
      <c r="H407" s="2">
        <v>26136.720000000001</v>
      </c>
      <c r="I407" s="2">
        <v>19110.72</v>
      </c>
      <c r="J407" s="3">
        <v>44433</v>
      </c>
      <c r="K407" t="s">
        <v>39</v>
      </c>
      <c r="L407" t="s">
        <v>21</v>
      </c>
      <c r="M407">
        <v>2022</v>
      </c>
      <c r="N407" t="s">
        <v>135</v>
      </c>
      <c r="O407" t="s">
        <v>23</v>
      </c>
      <c r="P407" t="s">
        <v>24</v>
      </c>
    </row>
    <row r="408" spans="1:16" x14ac:dyDescent="0.3">
      <c r="A408" t="s">
        <v>25</v>
      </c>
      <c r="B408" t="s">
        <v>294</v>
      </c>
      <c r="C408" t="s">
        <v>51</v>
      </c>
      <c r="D408" t="s">
        <v>153</v>
      </c>
      <c r="E408" s="2">
        <v>1262</v>
      </c>
      <c r="F408" s="2">
        <v>15</v>
      </c>
      <c r="G408">
        <v>1325.1</v>
      </c>
      <c r="H408" s="2">
        <v>17604.900000000001</v>
      </c>
      <c r="I408" s="2">
        <v>4984.9000000000015</v>
      </c>
      <c r="J408" s="3">
        <v>44304</v>
      </c>
      <c r="K408" t="s">
        <v>67</v>
      </c>
      <c r="L408" t="s">
        <v>68</v>
      </c>
      <c r="M408">
        <v>2022</v>
      </c>
      <c r="N408" t="s">
        <v>238</v>
      </c>
      <c r="O408" t="s">
        <v>53</v>
      </c>
      <c r="P408" t="s">
        <v>41</v>
      </c>
    </row>
    <row r="409" spans="1:16" x14ac:dyDescent="0.3">
      <c r="A409" t="s">
        <v>37</v>
      </c>
      <c r="B409" t="s">
        <v>84</v>
      </c>
      <c r="C409" t="s">
        <v>51</v>
      </c>
      <c r="D409" t="s">
        <v>153</v>
      </c>
      <c r="E409" s="2">
        <v>1135</v>
      </c>
      <c r="F409" s="2">
        <v>7</v>
      </c>
      <c r="G409">
        <v>556.15</v>
      </c>
      <c r="H409" s="2">
        <v>7388.85</v>
      </c>
      <c r="I409" s="2">
        <v>1713.8500000000004</v>
      </c>
      <c r="J409" s="3">
        <v>44324</v>
      </c>
      <c r="K409" t="s">
        <v>104</v>
      </c>
      <c r="L409" t="s">
        <v>68</v>
      </c>
      <c r="M409">
        <v>2022</v>
      </c>
      <c r="N409" t="s">
        <v>86</v>
      </c>
      <c r="O409" t="s">
        <v>53</v>
      </c>
      <c r="P409" t="s">
        <v>60</v>
      </c>
    </row>
    <row r="410" spans="1:16" x14ac:dyDescent="0.3">
      <c r="A410" t="s">
        <v>37</v>
      </c>
      <c r="B410" t="s">
        <v>138</v>
      </c>
      <c r="C410" t="s">
        <v>51</v>
      </c>
      <c r="D410" t="s">
        <v>153</v>
      </c>
      <c r="E410" s="2">
        <v>547</v>
      </c>
      <c r="F410" s="2">
        <v>7</v>
      </c>
      <c r="G410">
        <v>268.02999999999997</v>
      </c>
      <c r="H410" s="2">
        <v>3560.9700000000003</v>
      </c>
      <c r="I410" s="2">
        <v>825.97000000000025</v>
      </c>
      <c r="J410" s="3">
        <v>44777</v>
      </c>
      <c r="K410" t="s">
        <v>39</v>
      </c>
      <c r="L410" t="s">
        <v>21</v>
      </c>
      <c r="M410">
        <v>2022</v>
      </c>
      <c r="N410" t="s">
        <v>139</v>
      </c>
      <c r="O410" t="s">
        <v>53</v>
      </c>
      <c r="P410" t="s">
        <v>24</v>
      </c>
    </row>
    <row r="411" spans="1:16" x14ac:dyDescent="0.3">
      <c r="A411" t="s">
        <v>37</v>
      </c>
      <c r="B411" t="s">
        <v>84</v>
      </c>
      <c r="C411" t="s">
        <v>51</v>
      </c>
      <c r="D411" t="s">
        <v>153</v>
      </c>
      <c r="E411" s="2">
        <v>1582</v>
      </c>
      <c r="F411" s="2">
        <v>7</v>
      </c>
      <c r="G411">
        <v>775.18</v>
      </c>
      <c r="H411" s="2">
        <v>10298.82</v>
      </c>
      <c r="I411" s="2">
        <v>2388.8199999999997</v>
      </c>
      <c r="J411" s="3">
        <v>44291</v>
      </c>
      <c r="K411" t="s">
        <v>67</v>
      </c>
      <c r="L411" t="s">
        <v>68</v>
      </c>
      <c r="M411">
        <v>2022</v>
      </c>
      <c r="N411" t="s">
        <v>86</v>
      </c>
      <c r="O411" t="s">
        <v>53</v>
      </c>
      <c r="P411" t="s">
        <v>60</v>
      </c>
    </row>
    <row r="412" spans="1:16" x14ac:dyDescent="0.3">
      <c r="A412" t="s">
        <v>42</v>
      </c>
      <c r="B412" t="s">
        <v>216</v>
      </c>
      <c r="C412" t="s">
        <v>56</v>
      </c>
      <c r="D412" t="s">
        <v>153</v>
      </c>
      <c r="E412" s="2">
        <v>1738.5</v>
      </c>
      <c r="F412" s="2">
        <v>12</v>
      </c>
      <c r="G412">
        <v>1460.34</v>
      </c>
      <c r="H412" s="2">
        <v>19401.66</v>
      </c>
      <c r="I412" s="2">
        <v>14186.16</v>
      </c>
      <c r="J412" s="3">
        <v>44617</v>
      </c>
      <c r="K412" t="s">
        <v>57</v>
      </c>
      <c r="L412" t="s">
        <v>29</v>
      </c>
      <c r="M412">
        <v>2022</v>
      </c>
      <c r="N412" t="s">
        <v>217</v>
      </c>
      <c r="O412" t="s">
        <v>59</v>
      </c>
      <c r="P412" t="s">
        <v>24</v>
      </c>
    </row>
    <row r="413" spans="1:16" x14ac:dyDescent="0.3">
      <c r="A413" t="s">
        <v>37</v>
      </c>
      <c r="B413" t="s">
        <v>168</v>
      </c>
      <c r="C413" t="s">
        <v>56</v>
      </c>
      <c r="D413" t="s">
        <v>153</v>
      </c>
      <c r="E413" s="2">
        <v>1582</v>
      </c>
      <c r="F413" s="2">
        <v>7</v>
      </c>
      <c r="G413">
        <v>775.18</v>
      </c>
      <c r="H413" s="2">
        <v>10298.82</v>
      </c>
      <c r="I413" s="2">
        <v>2388.8199999999997</v>
      </c>
      <c r="J413" s="3">
        <v>44562</v>
      </c>
      <c r="K413" t="s">
        <v>28</v>
      </c>
      <c r="L413" t="s">
        <v>29</v>
      </c>
      <c r="M413">
        <v>2022</v>
      </c>
      <c r="N413" t="s">
        <v>169</v>
      </c>
      <c r="O413" t="s">
        <v>59</v>
      </c>
      <c r="P413" t="s">
        <v>54</v>
      </c>
    </row>
    <row r="414" spans="1:16" x14ac:dyDescent="0.3">
      <c r="A414" t="s">
        <v>37</v>
      </c>
      <c r="B414" t="s">
        <v>151</v>
      </c>
      <c r="C414" t="s">
        <v>90</v>
      </c>
      <c r="D414" t="s">
        <v>153</v>
      </c>
      <c r="E414" s="2">
        <v>1135</v>
      </c>
      <c r="F414" s="2">
        <v>7</v>
      </c>
      <c r="G414">
        <v>556.15</v>
      </c>
      <c r="H414" s="2">
        <v>7388.85</v>
      </c>
      <c r="I414" s="2">
        <v>1713.8500000000004</v>
      </c>
      <c r="J414" s="3">
        <v>44351</v>
      </c>
      <c r="K414" t="s">
        <v>146</v>
      </c>
      <c r="L414" t="s">
        <v>68</v>
      </c>
      <c r="M414">
        <v>2022</v>
      </c>
      <c r="N414" t="s">
        <v>152</v>
      </c>
      <c r="O414" t="s">
        <v>92</v>
      </c>
      <c r="P414" t="s">
        <v>54</v>
      </c>
    </row>
    <row r="415" spans="1:16" x14ac:dyDescent="0.3">
      <c r="A415" t="s">
        <v>37</v>
      </c>
      <c r="B415" t="s">
        <v>172</v>
      </c>
      <c r="C415" t="s">
        <v>62</v>
      </c>
      <c r="D415" t="s">
        <v>153</v>
      </c>
      <c r="E415" s="2">
        <v>1761</v>
      </c>
      <c r="F415" s="2">
        <v>350</v>
      </c>
      <c r="G415">
        <v>43144.5</v>
      </c>
      <c r="H415" s="2">
        <v>573205.5</v>
      </c>
      <c r="I415" s="2">
        <v>115345.5</v>
      </c>
      <c r="J415" s="3">
        <v>44684</v>
      </c>
      <c r="K415" t="s">
        <v>104</v>
      </c>
      <c r="L415" t="s">
        <v>68</v>
      </c>
      <c r="M415">
        <v>2022</v>
      </c>
      <c r="N415" t="s">
        <v>173</v>
      </c>
      <c r="O415" t="s">
        <v>65</v>
      </c>
      <c r="P415" t="s">
        <v>24</v>
      </c>
    </row>
    <row r="416" spans="1:16" x14ac:dyDescent="0.3">
      <c r="A416" t="s">
        <v>33</v>
      </c>
      <c r="B416" t="s">
        <v>295</v>
      </c>
      <c r="C416" t="s">
        <v>62</v>
      </c>
      <c r="D416" t="s">
        <v>153</v>
      </c>
      <c r="E416" s="2">
        <v>448</v>
      </c>
      <c r="F416" s="2">
        <v>300</v>
      </c>
      <c r="G416">
        <v>9408</v>
      </c>
      <c r="H416" s="2">
        <v>124992</v>
      </c>
      <c r="I416" s="2">
        <v>12992</v>
      </c>
      <c r="J416" s="3">
        <v>44787</v>
      </c>
      <c r="K416" t="s">
        <v>39</v>
      </c>
      <c r="L416" t="s">
        <v>21</v>
      </c>
      <c r="M416">
        <v>2022</v>
      </c>
      <c r="N416" t="s">
        <v>173</v>
      </c>
      <c r="O416" t="s">
        <v>65</v>
      </c>
      <c r="P416" t="s">
        <v>46</v>
      </c>
    </row>
    <row r="417" spans="1:16" x14ac:dyDescent="0.3">
      <c r="A417" t="s">
        <v>33</v>
      </c>
      <c r="B417" t="s">
        <v>295</v>
      </c>
      <c r="C417" t="s">
        <v>62</v>
      </c>
      <c r="D417" t="s">
        <v>153</v>
      </c>
      <c r="E417" s="2">
        <v>2181</v>
      </c>
      <c r="F417" s="2">
        <v>300</v>
      </c>
      <c r="G417">
        <v>45801</v>
      </c>
      <c r="H417" s="2">
        <v>608499</v>
      </c>
      <c r="I417" s="2">
        <v>63249</v>
      </c>
      <c r="J417" s="3">
        <v>44401</v>
      </c>
      <c r="K417" t="s">
        <v>44</v>
      </c>
      <c r="L417" t="s">
        <v>21</v>
      </c>
      <c r="M417">
        <v>2022</v>
      </c>
      <c r="N417" t="s">
        <v>173</v>
      </c>
      <c r="O417" t="s">
        <v>65</v>
      </c>
      <c r="P417" t="s">
        <v>46</v>
      </c>
    </row>
    <row r="418" spans="1:16" x14ac:dyDescent="0.3">
      <c r="A418" t="s">
        <v>37</v>
      </c>
      <c r="B418" t="s">
        <v>176</v>
      </c>
      <c r="C418" t="s">
        <v>18</v>
      </c>
      <c r="D418" t="s">
        <v>153</v>
      </c>
      <c r="E418" s="2">
        <v>1976</v>
      </c>
      <c r="F418" s="2">
        <v>20</v>
      </c>
      <c r="G418">
        <v>2766.4</v>
      </c>
      <c r="H418" s="2">
        <v>36753.599999999999</v>
      </c>
      <c r="I418" s="2">
        <v>16993.599999999999</v>
      </c>
      <c r="J418" s="3">
        <v>44463</v>
      </c>
      <c r="K418" t="s">
        <v>20</v>
      </c>
      <c r="L418" t="s">
        <v>21</v>
      </c>
      <c r="M418">
        <v>2022</v>
      </c>
      <c r="N418" t="s">
        <v>177</v>
      </c>
      <c r="O418" t="s">
        <v>23</v>
      </c>
      <c r="P418" t="s">
        <v>36</v>
      </c>
    </row>
    <row r="419" spans="1:16" x14ac:dyDescent="0.3">
      <c r="A419" t="s">
        <v>33</v>
      </c>
      <c r="B419" t="s">
        <v>212</v>
      </c>
      <c r="C419" t="s">
        <v>18</v>
      </c>
      <c r="D419" t="s">
        <v>153</v>
      </c>
      <c r="E419" s="2">
        <v>2181</v>
      </c>
      <c r="F419" s="2">
        <v>300</v>
      </c>
      <c r="G419">
        <v>45801</v>
      </c>
      <c r="H419" s="2">
        <v>608499</v>
      </c>
      <c r="I419" s="2">
        <v>63249</v>
      </c>
      <c r="J419" s="3">
        <v>44768</v>
      </c>
      <c r="K419" t="s">
        <v>44</v>
      </c>
      <c r="L419" t="s">
        <v>21</v>
      </c>
      <c r="M419">
        <v>2022</v>
      </c>
      <c r="N419" t="s">
        <v>213</v>
      </c>
      <c r="O419" t="s">
        <v>23</v>
      </c>
      <c r="P419" t="s">
        <v>49</v>
      </c>
    </row>
    <row r="420" spans="1:16" x14ac:dyDescent="0.3">
      <c r="A420" t="s">
        <v>33</v>
      </c>
      <c r="B420" t="s">
        <v>196</v>
      </c>
      <c r="C420" t="s">
        <v>27</v>
      </c>
      <c r="D420" t="s">
        <v>153</v>
      </c>
      <c r="E420" s="2">
        <v>1702</v>
      </c>
      <c r="F420" s="2">
        <v>300</v>
      </c>
      <c r="G420">
        <v>35742</v>
      </c>
      <c r="H420" s="2">
        <v>474858</v>
      </c>
      <c r="I420" s="2">
        <v>49358</v>
      </c>
      <c r="J420" s="3">
        <v>44698</v>
      </c>
      <c r="K420" t="s">
        <v>104</v>
      </c>
      <c r="L420" t="s">
        <v>68</v>
      </c>
      <c r="M420">
        <v>2022</v>
      </c>
      <c r="N420" t="s">
        <v>197</v>
      </c>
      <c r="O420" t="s">
        <v>31</v>
      </c>
      <c r="P420" t="s">
        <v>49</v>
      </c>
    </row>
    <row r="421" spans="1:16" x14ac:dyDescent="0.3">
      <c r="A421" t="s">
        <v>33</v>
      </c>
      <c r="B421" t="s">
        <v>275</v>
      </c>
      <c r="C421" t="s">
        <v>27</v>
      </c>
      <c r="D421" t="s">
        <v>153</v>
      </c>
      <c r="E421" s="2">
        <v>448</v>
      </c>
      <c r="F421" s="2">
        <v>300</v>
      </c>
      <c r="G421">
        <v>9408</v>
      </c>
      <c r="H421" s="2">
        <v>124992</v>
      </c>
      <c r="I421" s="2">
        <v>12992</v>
      </c>
      <c r="J421" s="3">
        <v>44716</v>
      </c>
      <c r="K421" t="s">
        <v>146</v>
      </c>
      <c r="L421" t="s">
        <v>68</v>
      </c>
      <c r="M421">
        <v>2022</v>
      </c>
      <c r="N421" t="s">
        <v>203</v>
      </c>
      <c r="O421" t="s">
        <v>31</v>
      </c>
      <c r="P421" t="s">
        <v>24</v>
      </c>
    </row>
    <row r="422" spans="1:16" x14ac:dyDescent="0.3">
      <c r="A422" t="s">
        <v>16</v>
      </c>
      <c r="B422" t="s">
        <v>101</v>
      </c>
      <c r="C422" t="s">
        <v>27</v>
      </c>
      <c r="D422" t="s">
        <v>153</v>
      </c>
      <c r="E422" s="2">
        <v>3513</v>
      </c>
      <c r="F422" s="2">
        <v>125</v>
      </c>
      <c r="G422">
        <v>30738.75</v>
      </c>
      <c r="H422" s="2">
        <v>408386.25</v>
      </c>
      <c r="I422" s="2">
        <v>-13173.75</v>
      </c>
      <c r="J422" s="3">
        <v>44478</v>
      </c>
      <c r="K422" t="s">
        <v>85</v>
      </c>
      <c r="L422" t="s">
        <v>72</v>
      </c>
      <c r="M422">
        <v>2022</v>
      </c>
      <c r="N422" t="s">
        <v>102</v>
      </c>
      <c r="O422" t="s">
        <v>31</v>
      </c>
      <c r="P422" t="s">
        <v>54</v>
      </c>
    </row>
    <row r="423" spans="1:16" x14ac:dyDescent="0.3">
      <c r="A423" t="s">
        <v>25</v>
      </c>
      <c r="B423" t="s">
        <v>26</v>
      </c>
      <c r="C423" t="s">
        <v>27</v>
      </c>
      <c r="D423" t="s">
        <v>153</v>
      </c>
      <c r="E423" s="2">
        <v>2101</v>
      </c>
      <c r="F423" s="2">
        <v>15</v>
      </c>
      <c r="G423">
        <v>2206.0500000000002</v>
      </c>
      <c r="H423" s="2">
        <v>29308.95</v>
      </c>
      <c r="I423" s="2">
        <v>8298.9500000000007</v>
      </c>
      <c r="J423" s="3">
        <v>44314</v>
      </c>
      <c r="K423" t="s">
        <v>67</v>
      </c>
      <c r="L423" t="s">
        <v>68</v>
      </c>
      <c r="M423">
        <v>2022</v>
      </c>
      <c r="N423" t="s">
        <v>30</v>
      </c>
      <c r="O423" t="s">
        <v>31</v>
      </c>
      <c r="P423" t="s">
        <v>32</v>
      </c>
    </row>
    <row r="424" spans="1:16" x14ac:dyDescent="0.3">
      <c r="A424" t="s">
        <v>37</v>
      </c>
      <c r="B424" t="s">
        <v>162</v>
      </c>
      <c r="C424" t="s">
        <v>27</v>
      </c>
      <c r="D424" t="s">
        <v>153</v>
      </c>
      <c r="E424" s="2">
        <v>1535</v>
      </c>
      <c r="F424" s="2">
        <v>20</v>
      </c>
      <c r="G424">
        <v>2149</v>
      </c>
      <c r="H424" s="2">
        <v>28551</v>
      </c>
      <c r="I424" s="2">
        <v>13201</v>
      </c>
      <c r="J424" s="3">
        <v>44261</v>
      </c>
      <c r="K424" t="s">
        <v>82</v>
      </c>
      <c r="L424" t="s">
        <v>29</v>
      </c>
      <c r="M424">
        <v>2022</v>
      </c>
      <c r="N424" t="s">
        <v>163</v>
      </c>
      <c r="O424" t="s">
        <v>31</v>
      </c>
      <c r="P424" t="s">
        <v>41</v>
      </c>
    </row>
    <row r="425" spans="1:16" x14ac:dyDescent="0.3">
      <c r="A425" t="s">
        <v>33</v>
      </c>
      <c r="B425" t="s">
        <v>179</v>
      </c>
      <c r="C425" t="s">
        <v>51</v>
      </c>
      <c r="D425" t="s">
        <v>153</v>
      </c>
      <c r="E425" s="2">
        <v>1659</v>
      </c>
      <c r="F425" s="2">
        <v>300</v>
      </c>
      <c r="G425">
        <v>34839</v>
      </c>
      <c r="H425" s="2">
        <v>462861</v>
      </c>
      <c r="I425" s="2">
        <v>48111</v>
      </c>
      <c r="J425" s="3">
        <v>44871</v>
      </c>
      <c r="K425" t="s">
        <v>71</v>
      </c>
      <c r="L425" t="s">
        <v>72</v>
      </c>
      <c r="M425">
        <v>2022</v>
      </c>
      <c r="N425" t="s">
        <v>180</v>
      </c>
      <c r="O425" t="s">
        <v>53</v>
      </c>
      <c r="P425" t="s">
        <v>46</v>
      </c>
    </row>
    <row r="426" spans="1:16" x14ac:dyDescent="0.3">
      <c r="A426" t="s">
        <v>37</v>
      </c>
      <c r="B426" t="s">
        <v>118</v>
      </c>
      <c r="C426" t="s">
        <v>51</v>
      </c>
      <c r="D426" t="s">
        <v>153</v>
      </c>
      <c r="E426" s="2">
        <v>609</v>
      </c>
      <c r="F426" s="2">
        <v>20</v>
      </c>
      <c r="G426">
        <v>852.6</v>
      </c>
      <c r="H426" s="2">
        <v>11327.4</v>
      </c>
      <c r="I426" s="2">
        <v>5237.3999999999996</v>
      </c>
      <c r="J426" s="3">
        <v>44550</v>
      </c>
      <c r="K426" t="s">
        <v>75</v>
      </c>
      <c r="L426" t="s">
        <v>72</v>
      </c>
      <c r="M426">
        <v>2022</v>
      </c>
      <c r="N426" t="s">
        <v>119</v>
      </c>
      <c r="O426" t="s">
        <v>53</v>
      </c>
      <c r="P426" t="s">
        <v>54</v>
      </c>
    </row>
    <row r="427" spans="1:16" x14ac:dyDescent="0.3">
      <c r="A427" t="s">
        <v>16</v>
      </c>
      <c r="B427" t="s">
        <v>114</v>
      </c>
      <c r="C427" t="s">
        <v>51</v>
      </c>
      <c r="D427" t="s">
        <v>153</v>
      </c>
      <c r="E427" s="2">
        <v>2087</v>
      </c>
      <c r="F427" s="2">
        <v>125</v>
      </c>
      <c r="G427">
        <v>18261.25</v>
      </c>
      <c r="H427" s="2">
        <v>242613.75</v>
      </c>
      <c r="I427" s="2">
        <v>-7826.25</v>
      </c>
      <c r="J427" s="3">
        <v>44298</v>
      </c>
      <c r="K427" t="s">
        <v>67</v>
      </c>
      <c r="L427" t="s">
        <v>68</v>
      </c>
      <c r="M427">
        <v>2022</v>
      </c>
      <c r="N427" t="s">
        <v>115</v>
      </c>
      <c r="O427" t="s">
        <v>53</v>
      </c>
      <c r="P427" t="s">
        <v>46</v>
      </c>
    </row>
    <row r="428" spans="1:16" x14ac:dyDescent="0.3">
      <c r="A428" t="s">
        <v>37</v>
      </c>
      <c r="B428" t="s">
        <v>166</v>
      </c>
      <c r="C428" t="s">
        <v>51</v>
      </c>
      <c r="D428" t="s">
        <v>153</v>
      </c>
      <c r="E428" s="2">
        <v>1976</v>
      </c>
      <c r="F428" s="2">
        <v>20</v>
      </c>
      <c r="G428">
        <v>2766.4</v>
      </c>
      <c r="H428" s="2">
        <v>36753.599999999999</v>
      </c>
      <c r="I428" s="2">
        <v>16993.599999999999</v>
      </c>
      <c r="J428" s="3">
        <v>44776</v>
      </c>
      <c r="K428" t="s">
        <v>39</v>
      </c>
      <c r="L428" t="s">
        <v>21</v>
      </c>
      <c r="M428">
        <v>2022</v>
      </c>
      <c r="N428" t="s">
        <v>167</v>
      </c>
      <c r="O428" t="s">
        <v>53</v>
      </c>
      <c r="P428" t="s">
        <v>49</v>
      </c>
    </row>
    <row r="429" spans="1:16" x14ac:dyDescent="0.3">
      <c r="A429" t="s">
        <v>33</v>
      </c>
      <c r="B429" t="s">
        <v>227</v>
      </c>
      <c r="C429" t="s">
        <v>51</v>
      </c>
      <c r="D429" t="s">
        <v>153</v>
      </c>
      <c r="E429" s="2">
        <v>1372</v>
      </c>
      <c r="F429" s="2">
        <v>300</v>
      </c>
      <c r="G429">
        <v>28812</v>
      </c>
      <c r="H429" s="2">
        <v>382788</v>
      </c>
      <c r="I429" s="2">
        <v>39788</v>
      </c>
      <c r="J429" s="3">
        <v>44406</v>
      </c>
      <c r="K429" t="s">
        <v>44</v>
      </c>
      <c r="L429" t="s">
        <v>21</v>
      </c>
      <c r="M429">
        <v>2022</v>
      </c>
      <c r="N429" t="s">
        <v>159</v>
      </c>
      <c r="O429" t="s">
        <v>53</v>
      </c>
      <c r="P429" t="s">
        <v>49</v>
      </c>
    </row>
    <row r="430" spans="1:16" x14ac:dyDescent="0.3">
      <c r="A430" t="s">
        <v>42</v>
      </c>
      <c r="B430" t="s">
        <v>296</v>
      </c>
      <c r="C430" t="s">
        <v>56</v>
      </c>
      <c r="D430" t="s">
        <v>153</v>
      </c>
      <c r="E430" s="2">
        <v>3244.5</v>
      </c>
      <c r="F430" s="2">
        <v>12</v>
      </c>
      <c r="G430">
        <v>2725.38</v>
      </c>
      <c r="H430" s="2">
        <v>36208.620000000003</v>
      </c>
      <c r="I430" s="2">
        <v>26475.120000000003</v>
      </c>
      <c r="J430" s="3">
        <v>44828</v>
      </c>
      <c r="K430" t="s">
        <v>20</v>
      </c>
      <c r="L430" t="s">
        <v>21</v>
      </c>
      <c r="M430">
        <v>2022</v>
      </c>
      <c r="N430" t="s">
        <v>241</v>
      </c>
      <c r="O430" t="s">
        <v>59</v>
      </c>
      <c r="P430" t="s">
        <v>49</v>
      </c>
    </row>
    <row r="431" spans="1:16" x14ac:dyDescent="0.3">
      <c r="A431" t="s">
        <v>33</v>
      </c>
      <c r="B431" t="s">
        <v>181</v>
      </c>
      <c r="C431" t="s">
        <v>56</v>
      </c>
      <c r="D431" t="s">
        <v>153</v>
      </c>
      <c r="E431" s="2">
        <v>959</v>
      </c>
      <c r="F431" s="2">
        <v>300</v>
      </c>
      <c r="G431">
        <v>20139</v>
      </c>
      <c r="H431" s="2">
        <v>267561</v>
      </c>
      <c r="I431" s="2">
        <v>27811</v>
      </c>
      <c r="J431" s="3">
        <v>44665</v>
      </c>
      <c r="K431" t="s">
        <v>67</v>
      </c>
      <c r="L431" t="s">
        <v>68</v>
      </c>
      <c r="M431">
        <v>2022</v>
      </c>
      <c r="N431" t="s">
        <v>182</v>
      </c>
      <c r="O431" t="s">
        <v>59</v>
      </c>
      <c r="P431" t="s">
        <v>49</v>
      </c>
    </row>
    <row r="432" spans="1:16" x14ac:dyDescent="0.3">
      <c r="A432" t="s">
        <v>33</v>
      </c>
      <c r="B432" t="s">
        <v>87</v>
      </c>
      <c r="C432" t="s">
        <v>56</v>
      </c>
      <c r="D432" t="s">
        <v>153</v>
      </c>
      <c r="E432" s="2">
        <v>2747</v>
      </c>
      <c r="F432" s="2">
        <v>300</v>
      </c>
      <c r="G432">
        <v>57687</v>
      </c>
      <c r="H432" s="2">
        <v>766413</v>
      </c>
      <c r="I432" s="2">
        <v>79663</v>
      </c>
      <c r="J432" s="3">
        <v>44296</v>
      </c>
      <c r="K432" t="s">
        <v>67</v>
      </c>
      <c r="L432" t="s">
        <v>68</v>
      </c>
      <c r="M432">
        <v>2022</v>
      </c>
      <c r="N432" t="s">
        <v>88</v>
      </c>
      <c r="O432" t="s">
        <v>59</v>
      </c>
      <c r="P432" t="s">
        <v>24</v>
      </c>
    </row>
    <row r="433" spans="1:16" x14ac:dyDescent="0.3">
      <c r="A433" t="s">
        <v>16</v>
      </c>
      <c r="B433" t="s">
        <v>297</v>
      </c>
      <c r="C433" t="s">
        <v>90</v>
      </c>
      <c r="D433" t="s">
        <v>153</v>
      </c>
      <c r="E433" s="2">
        <v>1645</v>
      </c>
      <c r="F433" s="2">
        <v>125</v>
      </c>
      <c r="G433">
        <v>14393.75</v>
      </c>
      <c r="H433" s="2">
        <v>191231.25</v>
      </c>
      <c r="I433" s="2">
        <v>-6168.75</v>
      </c>
      <c r="J433" s="3">
        <v>44715</v>
      </c>
      <c r="K433" t="s">
        <v>146</v>
      </c>
      <c r="L433" t="s">
        <v>68</v>
      </c>
      <c r="M433">
        <v>2022</v>
      </c>
      <c r="N433" t="s">
        <v>243</v>
      </c>
      <c r="O433" t="s">
        <v>92</v>
      </c>
      <c r="P433" t="s">
        <v>54</v>
      </c>
    </row>
    <row r="434" spans="1:16" x14ac:dyDescent="0.3">
      <c r="A434" t="s">
        <v>37</v>
      </c>
      <c r="B434" t="s">
        <v>187</v>
      </c>
      <c r="C434" t="s">
        <v>90</v>
      </c>
      <c r="D434" t="s">
        <v>153</v>
      </c>
      <c r="E434" s="2">
        <v>2876</v>
      </c>
      <c r="F434" s="2">
        <v>350</v>
      </c>
      <c r="G434">
        <v>70462</v>
      </c>
      <c r="H434" s="2">
        <v>936138</v>
      </c>
      <c r="I434" s="2">
        <v>188378</v>
      </c>
      <c r="J434" s="3">
        <v>44742</v>
      </c>
      <c r="K434" t="s">
        <v>146</v>
      </c>
      <c r="L434" t="s">
        <v>68</v>
      </c>
      <c r="M434">
        <v>2022</v>
      </c>
      <c r="N434" t="s">
        <v>188</v>
      </c>
      <c r="O434" t="s">
        <v>92</v>
      </c>
      <c r="P434" t="s">
        <v>24</v>
      </c>
    </row>
    <row r="435" spans="1:16" x14ac:dyDescent="0.3">
      <c r="A435" t="s">
        <v>37</v>
      </c>
      <c r="B435" t="s">
        <v>151</v>
      </c>
      <c r="C435" t="s">
        <v>90</v>
      </c>
      <c r="D435" t="s">
        <v>153</v>
      </c>
      <c r="E435" s="2">
        <v>1118</v>
      </c>
      <c r="F435" s="2">
        <v>20</v>
      </c>
      <c r="G435">
        <v>1565.2</v>
      </c>
      <c r="H435" s="2">
        <v>20794.8</v>
      </c>
      <c r="I435" s="2">
        <v>9614.7999999999993</v>
      </c>
      <c r="J435" s="3">
        <v>44534</v>
      </c>
      <c r="K435" t="s">
        <v>75</v>
      </c>
      <c r="L435" t="s">
        <v>72</v>
      </c>
      <c r="M435">
        <v>2022</v>
      </c>
      <c r="N435" t="s">
        <v>152</v>
      </c>
      <c r="O435" t="s">
        <v>92</v>
      </c>
      <c r="P435" t="s">
        <v>54</v>
      </c>
    </row>
    <row r="436" spans="1:16" x14ac:dyDescent="0.3">
      <c r="A436" t="s">
        <v>33</v>
      </c>
      <c r="B436" t="s">
        <v>298</v>
      </c>
      <c r="C436" t="s">
        <v>90</v>
      </c>
      <c r="D436" t="s">
        <v>153</v>
      </c>
      <c r="E436" s="2">
        <v>1372</v>
      </c>
      <c r="F436" s="2">
        <v>300</v>
      </c>
      <c r="G436">
        <v>28812</v>
      </c>
      <c r="H436" s="2">
        <v>382788</v>
      </c>
      <c r="I436" s="2">
        <v>39788</v>
      </c>
      <c r="J436" s="3">
        <v>44824</v>
      </c>
      <c r="K436" t="s">
        <v>20</v>
      </c>
      <c r="L436" t="s">
        <v>21</v>
      </c>
      <c r="M436">
        <v>2022</v>
      </c>
      <c r="N436" t="s">
        <v>201</v>
      </c>
      <c r="O436" t="s">
        <v>92</v>
      </c>
      <c r="P436" t="s">
        <v>60</v>
      </c>
    </row>
    <row r="437" spans="1:16" x14ac:dyDescent="0.3">
      <c r="A437" t="s">
        <v>37</v>
      </c>
      <c r="B437" t="s">
        <v>142</v>
      </c>
      <c r="C437" t="s">
        <v>18</v>
      </c>
      <c r="D437" t="s">
        <v>153</v>
      </c>
      <c r="E437" s="2">
        <v>488</v>
      </c>
      <c r="F437" s="2">
        <v>7</v>
      </c>
      <c r="G437">
        <v>273.27999999999997</v>
      </c>
      <c r="H437" s="2">
        <v>3142.7200000000003</v>
      </c>
      <c r="I437" s="2">
        <v>702.72000000000025</v>
      </c>
      <c r="J437" s="3">
        <v>44854</v>
      </c>
      <c r="K437" t="s">
        <v>85</v>
      </c>
      <c r="L437" t="s">
        <v>72</v>
      </c>
      <c r="M437">
        <v>2022</v>
      </c>
      <c r="N437" t="s">
        <v>143</v>
      </c>
      <c r="O437" t="s">
        <v>23</v>
      </c>
      <c r="P437" t="s">
        <v>36</v>
      </c>
    </row>
    <row r="438" spans="1:16" x14ac:dyDescent="0.3">
      <c r="A438" t="s">
        <v>37</v>
      </c>
      <c r="B438" t="s">
        <v>249</v>
      </c>
      <c r="C438" t="s">
        <v>18</v>
      </c>
      <c r="D438" t="s">
        <v>153</v>
      </c>
      <c r="E438" s="2">
        <v>1282</v>
      </c>
      <c r="F438" s="2">
        <v>20</v>
      </c>
      <c r="G438">
        <v>2051.1999999999998</v>
      </c>
      <c r="H438" s="2">
        <v>23588.799999999999</v>
      </c>
      <c r="I438" s="2">
        <v>10768.8</v>
      </c>
      <c r="J438" s="3">
        <v>44481</v>
      </c>
      <c r="K438" t="s">
        <v>85</v>
      </c>
      <c r="L438" t="s">
        <v>72</v>
      </c>
      <c r="M438">
        <v>2022</v>
      </c>
      <c r="N438" t="s">
        <v>207</v>
      </c>
      <c r="O438" t="s">
        <v>23</v>
      </c>
      <c r="P438" t="s">
        <v>36</v>
      </c>
    </row>
    <row r="439" spans="1:16" x14ac:dyDescent="0.3">
      <c r="A439" t="s">
        <v>37</v>
      </c>
      <c r="B439" t="s">
        <v>38</v>
      </c>
      <c r="C439" t="s">
        <v>27</v>
      </c>
      <c r="D439" t="s">
        <v>153</v>
      </c>
      <c r="E439" s="2">
        <v>257</v>
      </c>
      <c r="F439" s="2">
        <v>7</v>
      </c>
      <c r="G439">
        <v>143.91999999999999</v>
      </c>
      <c r="H439" s="2">
        <v>1655.08</v>
      </c>
      <c r="I439" s="2">
        <v>370.07999999999993</v>
      </c>
      <c r="J439" s="3">
        <v>44490</v>
      </c>
      <c r="K439" t="s">
        <v>85</v>
      </c>
      <c r="L439" t="s">
        <v>72</v>
      </c>
      <c r="M439">
        <v>2022</v>
      </c>
      <c r="N439" t="s">
        <v>40</v>
      </c>
      <c r="O439" t="s">
        <v>31</v>
      </c>
      <c r="P439" t="s">
        <v>41</v>
      </c>
    </row>
    <row r="440" spans="1:16" x14ac:dyDescent="0.3">
      <c r="A440" t="s">
        <v>37</v>
      </c>
      <c r="B440" t="s">
        <v>185</v>
      </c>
      <c r="C440" t="s">
        <v>90</v>
      </c>
      <c r="D440" t="s">
        <v>153</v>
      </c>
      <c r="E440" s="2">
        <v>1282</v>
      </c>
      <c r="F440" s="2">
        <v>20</v>
      </c>
      <c r="G440">
        <v>2051.1999999999998</v>
      </c>
      <c r="H440" s="2">
        <v>23588.799999999999</v>
      </c>
      <c r="I440" s="2">
        <v>10768.8</v>
      </c>
      <c r="J440" s="3">
        <v>44471</v>
      </c>
      <c r="K440" t="s">
        <v>85</v>
      </c>
      <c r="L440" t="s">
        <v>72</v>
      </c>
      <c r="M440">
        <v>2022</v>
      </c>
      <c r="N440" t="s">
        <v>186</v>
      </c>
      <c r="O440" t="s">
        <v>92</v>
      </c>
      <c r="P440" t="s">
        <v>60</v>
      </c>
    </row>
    <row r="441" spans="1:16" x14ac:dyDescent="0.3">
      <c r="A441" t="s">
        <v>16</v>
      </c>
      <c r="B441" t="s">
        <v>250</v>
      </c>
      <c r="C441" t="s">
        <v>62</v>
      </c>
      <c r="D441" t="s">
        <v>153</v>
      </c>
      <c r="E441" s="2">
        <v>1540</v>
      </c>
      <c r="F441" s="2">
        <v>125</v>
      </c>
      <c r="G441">
        <v>15400</v>
      </c>
      <c r="H441" s="2">
        <v>177100</v>
      </c>
      <c r="I441" s="2">
        <v>-7700</v>
      </c>
      <c r="J441" s="3">
        <v>44347</v>
      </c>
      <c r="K441" t="s">
        <v>104</v>
      </c>
      <c r="L441" t="s">
        <v>68</v>
      </c>
      <c r="M441">
        <v>2022</v>
      </c>
      <c r="N441" t="s">
        <v>209</v>
      </c>
      <c r="O441" t="s">
        <v>65</v>
      </c>
      <c r="P441" t="s">
        <v>41</v>
      </c>
    </row>
    <row r="442" spans="1:16" x14ac:dyDescent="0.3">
      <c r="A442" t="s">
        <v>25</v>
      </c>
      <c r="B442" t="s">
        <v>259</v>
      </c>
      <c r="C442" t="s">
        <v>62</v>
      </c>
      <c r="D442" t="s">
        <v>153</v>
      </c>
      <c r="E442" s="2">
        <v>490</v>
      </c>
      <c r="F442" s="2">
        <v>15</v>
      </c>
      <c r="G442">
        <v>588</v>
      </c>
      <c r="H442" s="2">
        <v>6762</v>
      </c>
      <c r="I442" s="2">
        <v>1862</v>
      </c>
      <c r="J442" s="3">
        <v>44567</v>
      </c>
      <c r="K442" t="s">
        <v>28</v>
      </c>
      <c r="L442" t="s">
        <v>29</v>
      </c>
      <c r="M442">
        <v>2022</v>
      </c>
      <c r="N442" t="s">
        <v>175</v>
      </c>
      <c r="O442" t="s">
        <v>65</v>
      </c>
      <c r="P442" t="s">
        <v>32</v>
      </c>
    </row>
    <row r="443" spans="1:16" x14ac:dyDescent="0.3">
      <c r="A443" t="s">
        <v>37</v>
      </c>
      <c r="B443" t="s">
        <v>189</v>
      </c>
      <c r="C443" t="s">
        <v>62</v>
      </c>
      <c r="D443" t="s">
        <v>153</v>
      </c>
      <c r="E443" s="2">
        <v>1362</v>
      </c>
      <c r="F443" s="2">
        <v>350</v>
      </c>
      <c r="G443">
        <v>38136</v>
      </c>
      <c r="H443" s="2">
        <v>438564</v>
      </c>
      <c r="I443" s="2">
        <v>84444</v>
      </c>
      <c r="J443" s="3">
        <v>44222</v>
      </c>
      <c r="K443" t="s">
        <v>28</v>
      </c>
      <c r="L443" t="s">
        <v>29</v>
      </c>
      <c r="M443">
        <v>2022</v>
      </c>
      <c r="N443" t="s">
        <v>190</v>
      </c>
      <c r="O443" t="s">
        <v>65</v>
      </c>
      <c r="P443" t="s">
        <v>32</v>
      </c>
    </row>
    <row r="444" spans="1:16" x14ac:dyDescent="0.3">
      <c r="A444" t="s">
        <v>25</v>
      </c>
      <c r="B444" t="s">
        <v>299</v>
      </c>
      <c r="C444" t="s">
        <v>18</v>
      </c>
      <c r="D444" t="s">
        <v>153</v>
      </c>
      <c r="E444" s="2">
        <v>2501</v>
      </c>
      <c r="F444" s="2">
        <v>15</v>
      </c>
      <c r="G444">
        <v>3001.2</v>
      </c>
      <c r="H444" s="2">
        <v>34513.800000000003</v>
      </c>
      <c r="I444" s="2">
        <v>9503.8000000000029</v>
      </c>
      <c r="J444" s="3">
        <v>44564</v>
      </c>
      <c r="K444" t="s">
        <v>28</v>
      </c>
      <c r="L444" t="s">
        <v>29</v>
      </c>
      <c r="M444">
        <v>2022</v>
      </c>
      <c r="N444" t="s">
        <v>203</v>
      </c>
      <c r="O444" t="s">
        <v>23</v>
      </c>
      <c r="P444" t="s">
        <v>24</v>
      </c>
    </row>
    <row r="445" spans="1:16" x14ac:dyDescent="0.3">
      <c r="A445" t="s">
        <v>37</v>
      </c>
      <c r="B445" t="s">
        <v>142</v>
      </c>
      <c r="C445" t="s">
        <v>18</v>
      </c>
      <c r="D445" t="s">
        <v>153</v>
      </c>
      <c r="E445" s="2">
        <v>708</v>
      </c>
      <c r="F445" s="2">
        <v>20</v>
      </c>
      <c r="G445">
        <v>1132.8</v>
      </c>
      <c r="H445" s="2">
        <v>13027.2</v>
      </c>
      <c r="I445" s="2">
        <v>5947.2000000000007</v>
      </c>
      <c r="J445" s="3">
        <v>44527</v>
      </c>
      <c r="K445" t="s">
        <v>71</v>
      </c>
      <c r="L445" t="s">
        <v>72</v>
      </c>
      <c r="M445">
        <v>2022</v>
      </c>
      <c r="N445" t="s">
        <v>143</v>
      </c>
      <c r="O445" t="s">
        <v>23</v>
      </c>
      <c r="P445" t="s">
        <v>36</v>
      </c>
    </row>
    <row r="446" spans="1:16" x14ac:dyDescent="0.3">
      <c r="A446" t="s">
        <v>37</v>
      </c>
      <c r="B446" t="s">
        <v>130</v>
      </c>
      <c r="C446" t="s">
        <v>18</v>
      </c>
      <c r="D446" t="s">
        <v>153</v>
      </c>
      <c r="E446" s="2">
        <v>645</v>
      </c>
      <c r="F446" s="2">
        <v>20</v>
      </c>
      <c r="G446">
        <v>1032</v>
      </c>
      <c r="H446" s="2">
        <v>11868</v>
      </c>
      <c r="I446" s="2">
        <v>5418</v>
      </c>
      <c r="J446" s="3">
        <v>44788</v>
      </c>
      <c r="K446" t="s">
        <v>39</v>
      </c>
      <c r="L446" t="s">
        <v>21</v>
      </c>
      <c r="M446">
        <v>2022</v>
      </c>
      <c r="N446" t="s">
        <v>131</v>
      </c>
      <c r="O446" t="s">
        <v>23</v>
      </c>
      <c r="P446" t="s">
        <v>46</v>
      </c>
    </row>
    <row r="447" spans="1:16" x14ac:dyDescent="0.3">
      <c r="A447" t="s">
        <v>33</v>
      </c>
      <c r="B447" t="s">
        <v>212</v>
      </c>
      <c r="C447" t="s">
        <v>18</v>
      </c>
      <c r="D447" t="s">
        <v>153</v>
      </c>
      <c r="E447" s="2">
        <v>1562</v>
      </c>
      <c r="F447" s="2">
        <v>300</v>
      </c>
      <c r="G447">
        <v>37488</v>
      </c>
      <c r="H447" s="2">
        <v>431112</v>
      </c>
      <c r="I447" s="2">
        <v>40612</v>
      </c>
      <c r="J447" s="3">
        <v>44753</v>
      </c>
      <c r="K447" t="s">
        <v>44</v>
      </c>
      <c r="L447" t="s">
        <v>21</v>
      </c>
      <c r="M447">
        <v>2022</v>
      </c>
      <c r="N447" t="s">
        <v>213</v>
      </c>
      <c r="O447" t="s">
        <v>23</v>
      </c>
      <c r="P447" t="s">
        <v>49</v>
      </c>
    </row>
    <row r="448" spans="1:16" x14ac:dyDescent="0.3">
      <c r="A448" t="s">
        <v>25</v>
      </c>
      <c r="B448" t="s">
        <v>263</v>
      </c>
      <c r="C448" t="s">
        <v>18</v>
      </c>
      <c r="D448" t="s">
        <v>153</v>
      </c>
      <c r="E448" s="2">
        <v>711</v>
      </c>
      <c r="F448" s="2">
        <v>15</v>
      </c>
      <c r="G448">
        <v>853.2</v>
      </c>
      <c r="H448" s="2">
        <v>9811.7999999999993</v>
      </c>
      <c r="I448" s="2">
        <v>2701.7999999999993</v>
      </c>
      <c r="J448" s="3">
        <v>44734</v>
      </c>
      <c r="K448" t="s">
        <v>146</v>
      </c>
      <c r="L448" t="s">
        <v>68</v>
      </c>
      <c r="M448">
        <v>2022</v>
      </c>
      <c r="N448" t="s">
        <v>226</v>
      </c>
      <c r="O448" t="s">
        <v>23</v>
      </c>
      <c r="P448" t="s">
        <v>46</v>
      </c>
    </row>
    <row r="449" spans="1:16" x14ac:dyDescent="0.3">
      <c r="A449" t="s">
        <v>16</v>
      </c>
      <c r="B449" t="s">
        <v>103</v>
      </c>
      <c r="C449" t="s">
        <v>27</v>
      </c>
      <c r="D449" t="s">
        <v>153</v>
      </c>
      <c r="E449" s="2">
        <v>1114</v>
      </c>
      <c r="F449" s="2">
        <v>125</v>
      </c>
      <c r="G449">
        <v>11140</v>
      </c>
      <c r="H449" s="2">
        <v>128110</v>
      </c>
      <c r="I449" s="2">
        <v>-5570</v>
      </c>
      <c r="J449" s="3">
        <v>44874</v>
      </c>
      <c r="K449" t="s">
        <v>71</v>
      </c>
      <c r="L449" t="s">
        <v>72</v>
      </c>
      <c r="M449">
        <v>2022</v>
      </c>
      <c r="N449" t="s">
        <v>105</v>
      </c>
      <c r="O449" t="s">
        <v>31</v>
      </c>
      <c r="P449" t="s">
        <v>60</v>
      </c>
    </row>
    <row r="450" spans="1:16" x14ac:dyDescent="0.3">
      <c r="A450" t="s">
        <v>37</v>
      </c>
      <c r="B450" t="s">
        <v>200</v>
      </c>
      <c r="C450" t="s">
        <v>27</v>
      </c>
      <c r="D450" t="s">
        <v>153</v>
      </c>
      <c r="E450" s="2">
        <v>1259</v>
      </c>
      <c r="F450" s="2">
        <v>7</v>
      </c>
      <c r="G450">
        <v>705.04</v>
      </c>
      <c r="H450" s="2">
        <v>8107.96</v>
      </c>
      <c r="I450" s="2">
        <v>1812.96</v>
      </c>
      <c r="J450" s="3">
        <v>44754</v>
      </c>
      <c r="K450" t="s">
        <v>44</v>
      </c>
      <c r="L450" t="s">
        <v>21</v>
      </c>
      <c r="M450">
        <v>2022</v>
      </c>
      <c r="N450" t="s">
        <v>201</v>
      </c>
      <c r="O450" t="s">
        <v>31</v>
      </c>
      <c r="P450" t="s">
        <v>60</v>
      </c>
    </row>
    <row r="451" spans="1:16" x14ac:dyDescent="0.3">
      <c r="A451" t="s">
        <v>37</v>
      </c>
      <c r="B451" t="s">
        <v>200</v>
      </c>
      <c r="C451" t="s">
        <v>27</v>
      </c>
      <c r="D451" t="s">
        <v>153</v>
      </c>
      <c r="E451" s="2">
        <v>1095</v>
      </c>
      <c r="F451" s="2">
        <v>7</v>
      </c>
      <c r="G451">
        <v>613.20000000000005</v>
      </c>
      <c r="H451" s="2">
        <v>7051.8</v>
      </c>
      <c r="I451" s="2">
        <v>1576.8000000000002</v>
      </c>
      <c r="J451" s="3">
        <v>44467</v>
      </c>
      <c r="K451" t="s">
        <v>20</v>
      </c>
      <c r="L451" t="s">
        <v>21</v>
      </c>
      <c r="M451">
        <v>2022</v>
      </c>
      <c r="N451" t="s">
        <v>201</v>
      </c>
      <c r="O451" t="s">
        <v>31</v>
      </c>
      <c r="P451" t="s">
        <v>60</v>
      </c>
    </row>
    <row r="452" spans="1:16" x14ac:dyDescent="0.3">
      <c r="A452" t="s">
        <v>37</v>
      </c>
      <c r="B452" t="s">
        <v>200</v>
      </c>
      <c r="C452" t="s">
        <v>27</v>
      </c>
      <c r="D452" t="s">
        <v>153</v>
      </c>
      <c r="E452" s="2">
        <v>1366</v>
      </c>
      <c r="F452" s="2">
        <v>20</v>
      </c>
      <c r="G452">
        <v>2185.6</v>
      </c>
      <c r="H452" s="2">
        <v>25134.400000000001</v>
      </c>
      <c r="I452" s="2">
        <v>11474.400000000001</v>
      </c>
      <c r="J452" s="3">
        <v>44259</v>
      </c>
      <c r="K452" t="s">
        <v>82</v>
      </c>
      <c r="L452" t="s">
        <v>29</v>
      </c>
      <c r="M452">
        <v>2022</v>
      </c>
      <c r="N452" t="s">
        <v>201</v>
      </c>
      <c r="O452" t="s">
        <v>31</v>
      </c>
      <c r="P452" t="s">
        <v>60</v>
      </c>
    </row>
    <row r="453" spans="1:16" x14ac:dyDescent="0.3">
      <c r="A453" t="s">
        <v>33</v>
      </c>
      <c r="B453" t="s">
        <v>34</v>
      </c>
      <c r="C453" t="s">
        <v>27</v>
      </c>
      <c r="D453" t="s">
        <v>153</v>
      </c>
      <c r="E453" s="2">
        <v>2460</v>
      </c>
      <c r="F453" s="2">
        <v>300</v>
      </c>
      <c r="G453">
        <v>59040</v>
      </c>
      <c r="H453" s="2">
        <v>678960</v>
      </c>
      <c r="I453" s="2">
        <v>63960</v>
      </c>
      <c r="J453" s="3">
        <v>44404</v>
      </c>
      <c r="K453" t="s">
        <v>44</v>
      </c>
      <c r="L453" t="s">
        <v>21</v>
      </c>
      <c r="M453">
        <v>2022</v>
      </c>
      <c r="N453" t="s">
        <v>35</v>
      </c>
      <c r="O453" t="s">
        <v>31</v>
      </c>
      <c r="P453" t="s">
        <v>36</v>
      </c>
    </row>
    <row r="454" spans="1:16" x14ac:dyDescent="0.3">
      <c r="A454" t="s">
        <v>37</v>
      </c>
      <c r="B454" t="s">
        <v>110</v>
      </c>
      <c r="C454" t="s">
        <v>27</v>
      </c>
      <c r="D454" t="s">
        <v>153</v>
      </c>
      <c r="E454" s="2">
        <v>678</v>
      </c>
      <c r="F454" s="2">
        <v>7</v>
      </c>
      <c r="G454">
        <v>379.68</v>
      </c>
      <c r="H454" s="2">
        <v>4366.32</v>
      </c>
      <c r="I454" s="2">
        <v>976.31999999999971</v>
      </c>
      <c r="J454" s="3">
        <v>44276</v>
      </c>
      <c r="K454" t="s">
        <v>82</v>
      </c>
      <c r="L454" t="s">
        <v>29</v>
      </c>
      <c r="M454">
        <v>2022</v>
      </c>
      <c r="N454" t="s">
        <v>111</v>
      </c>
      <c r="O454" t="s">
        <v>31</v>
      </c>
      <c r="P454" t="s">
        <v>36</v>
      </c>
    </row>
    <row r="455" spans="1:16" x14ac:dyDescent="0.3">
      <c r="A455" t="s">
        <v>37</v>
      </c>
      <c r="B455" t="s">
        <v>200</v>
      </c>
      <c r="C455" t="s">
        <v>27</v>
      </c>
      <c r="D455" t="s">
        <v>153</v>
      </c>
      <c r="E455" s="2">
        <v>1598</v>
      </c>
      <c r="F455" s="2">
        <v>7</v>
      </c>
      <c r="G455">
        <v>894.88</v>
      </c>
      <c r="H455" s="2">
        <v>10291.120000000001</v>
      </c>
      <c r="I455" s="2">
        <v>2301.1200000000008</v>
      </c>
      <c r="J455" s="3">
        <v>44506</v>
      </c>
      <c r="K455" t="s">
        <v>71</v>
      </c>
      <c r="L455" t="s">
        <v>72</v>
      </c>
      <c r="M455">
        <v>2022</v>
      </c>
      <c r="N455" t="s">
        <v>201</v>
      </c>
      <c r="O455" t="s">
        <v>31</v>
      </c>
      <c r="P455" t="s">
        <v>60</v>
      </c>
    </row>
    <row r="456" spans="1:16" x14ac:dyDescent="0.3">
      <c r="A456" t="s">
        <v>37</v>
      </c>
      <c r="B456" t="s">
        <v>200</v>
      </c>
      <c r="C456" t="s">
        <v>27</v>
      </c>
      <c r="D456" t="s">
        <v>153</v>
      </c>
      <c r="E456" s="2">
        <v>1934</v>
      </c>
      <c r="F456" s="2">
        <v>20</v>
      </c>
      <c r="G456">
        <v>3094.4</v>
      </c>
      <c r="H456" s="2">
        <v>35585.599999999999</v>
      </c>
      <c r="I456" s="2">
        <v>16245.599999999999</v>
      </c>
      <c r="J456" s="3">
        <v>44229</v>
      </c>
      <c r="K456" t="s">
        <v>57</v>
      </c>
      <c r="L456" t="s">
        <v>29</v>
      </c>
      <c r="M456">
        <v>2022</v>
      </c>
      <c r="N456" t="s">
        <v>201</v>
      </c>
      <c r="O456" t="s">
        <v>31</v>
      </c>
      <c r="P456" t="s">
        <v>60</v>
      </c>
    </row>
    <row r="457" spans="1:16" x14ac:dyDescent="0.3">
      <c r="A457" t="s">
        <v>37</v>
      </c>
      <c r="B457" t="s">
        <v>136</v>
      </c>
      <c r="C457" t="s">
        <v>27</v>
      </c>
      <c r="D457" t="s">
        <v>153</v>
      </c>
      <c r="E457" s="2">
        <v>2993</v>
      </c>
      <c r="F457" s="2">
        <v>20</v>
      </c>
      <c r="G457">
        <v>4788.8</v>
      </c>
      <c r="H457" s="2">
        <v>55071.199999999997</v>
      </c>
      <c r="I457" s="2">
        <v>25141.199999999997</v>
      </c>
      <c r="J457" s="3">
        <v>44208</v>
      </c>
      <c r="K457" t="s">
        <v>28</v>
      </c>
      <c r="L457" t="s">
        <v>29</v>
      </c>
      <c r="M457">
        <v>2022</v>
      </c>
      <c r="N457" t="s">
        <v>137</v>
      </c>
      <c r="O457" t="s">
        <v>31</v>
      </c>
      <c r="P457" t="s">
        <v>60</v>
      </c>
    </row>
    <row r="458" spans="1:16" x14ac:dyDescent="0.3">
      <c r="A458" t="s">
        <v>37</v>
      </c>
      <c r="B458" t="s">
        <v>136</v>
      </c>
      <c r="C458" t="s">
        <v>27</v>
      </c>
      <c r="D458" t="s">
        <v>153</v>
      </c>
      <c r="E458" s="2">
        <v>1362</v>
      </c>
      <c r="F458" s="2">
        <v>350</v>
      </c>
      <c r="G458">
        <v>38136</v>
      </c>
      <c r="H458" s="2">
        <v>438564</v>
      </c>
      <c r="I458" s="2">
        <v>84444</v>
      </c>
      <c r="J458" s="3">
        <v>44816</v>
      </c>
      <c r="K458" t="s">
        <v>20</v>
      </c>
      <c r="L458" t="s">
        <v>21</v>
      </c>
      <c r="M458">
        <v>2022</v>
      </c>
      <c r="N458" t="s">
        <v>137</v>
      </c>
      <c r="O458" t="s">
        <v>31</v>
      </c>
      <c r="P458" t="s">
        <v>60</v>
      </c>
    </row>
    <row r="459" spans="1:16" x14ac:dyDescent="0.3">
      <c r="A459" t="s">
        <v>42</v>
      </c>
      <c r="B459" t="s">
        <v>287</v>
      </c>
      <c r="C459" t="s">
        <v>51</v>
      </c>
      <c r="D459" t="s">
        <v>153</v>
      </c>
      <c r="E459" s="2">
        <v>598</v>
      </c>
      <c r="F459" s="2">
        <v>12</v>
      </c>
      <c r="G459">
        <v>574.08000000000004</v>
      </c>
      <c r="H459" s="2">
        <v>6601.92</v>
      </c>
      <c r="I459" s="2">
        <v>4807.92</v>
      </c>
      <c r="J459" s="3">
        <v>44320</v>
      </c>
      <c r="K459" t="s">
        <v>104</v>
      </c>
      <c r="L459" t="s">
        <v>68</v>
      </c>
      <c r="M459">
        <v>2022</v>
      </c>
      <c r="N459" t="s">
        <v>226</v>
      </c>
      <c r="O459" t="s">
        <v>53</v>
      </c>
      <c r="P459" t="s">
        <v>46</v>
      </c>
    </row>
    <row r="460" spans="1:16" x14ac:dyDescent="0.3">
      <c r="A460" t="s">
        <v>37</v>
      </c>
      <c r="B460" t="s">
        <v>138</v>
      </c>
      <c r="C460" t="s">
        <v>51</v>
      </c>
      <c r="D460" t="s">
        <v>153</v>
      </c>
      <c r="E460" s="2">
        <v>2907</v>
      </c>
      <c r="F460" s="2">
        <v>7</v>
      </c>
      <c r="G460">
        <v>1627.92</v>
      </c>
      <c r="H460" s="2">
        <v>18721.080000000002</v>
      </c>
      <c r="I460" s="2">
        <v>4186.0800000000017</v>
      </c>
      <c r="J460" s="3">
        <v>44790</v>
      </c>
      <c r="K460" t="s">
        <v>39</v>
      </c>
      <c r="L460" t="s">
        <v>21</v>
      </c>
      <c r="M460">
        <v>2022</v>
      </c>
      <c r="N460" t="s">
        <v>139</v>
      </c>
      <c r="O460" t="s">
        <v>53</v>
      </c>
      <c r="P460" t="s">
        <v>24</v>
      </c>
    </row>
    <row r="461" spans="1:16" x14ac:dyDescent="0.3">
      <c r="A461" t="s">
        <v>37</v>
      </c>
      <c r="B461" t="s">
        <v>112</v>
      </c>
      <c r="C461" t="s">
        <v>51</v>
      </c>
      <c r="D461" t="s">
        <v>153</v>
      </c>
      <c r="E461" s="2">
        <v>2338</v>
      </c>
      <c r="F461" s="2">
        <v>7</v>
      </c>
      <c r="G461">
        <v>1309.28</v>
      </c>
      <c r="H461" s="2">
        <v>15056.72</v>
      </c>
      <c r="I461" s="2">
        <v>3366.7199999999993</v>
      </c>
      <c r="J461" s="3">
        <v>44382</v>
      </c>
      <c r="K461" t="s">
        <v>44</v>
      </c>
      <c r="L461" t="s">
        <v>21</v>
      </c>
      <c r="M461">
        <v>2022</v>
      </c>
      <c r="N461" t="s">
        <v>113</v>
      </c>
      <c r="O461" t="s">
        <v>53</v>
      </c>
      <c r="P461" t="s">
        <v>41</v>
      </c>
    </row>
    <row r="462" spans="1:16" x14ac:dyDescent="0.3">
      <c r="A462" t="s">
        <v>33</v>
      </c>
      <c r="B462" t="s">
        <v>246</v>
      </c>
      <c r="C462" t="s">
        <v>51</v>
      </c>
      <c r="D462" t="s">
        <v>153</v>
      </c>
      <c r="E462" s="2">
        <v>635</v>
      </c>
      <c r="F462" s="2">
        <v>300</v>
      </c>
      <c r="G462">
        <v>15240</v>
      </c>
      <c r="H462" s="2">
        <v>175260</v>
      </c>
      <c r="I462" s="2">
        <v>16510</v>
      </c>
      <c r="J462" s="3">
        <v>44419</v>
      </c>
      <c r="K462" t="s">
        <v>39</v>
      </c>
      <c r="L462" t="s">
        <v>21</v>
      </c>
      <c r="M462">
        <v>2022</v>
      </c>
      <c r="N462" t="s">
        <v>247</v>
      </c>
      <c r="O462" t="s">
        <v>53</v>
      </c>
      <c r="P462" t="s">
        <v>24</v>
      </c>
    </row>
    <row r="463" spans="1:16" x14ac:dyDescent="0.3">
      <c r="A463" t="s">
        <v>37</v>
      </c>
      <c r="B463" t="s">
        <v>55</v>
      </c>
      <c r="C463" t="s">
        <v>56</v>
      </c>
      <c r="D463" t="s">
        <v>153</v>
      </c>
      <c r="E463" s="2">
        <v>574.5</v>
      </c>
      <c r="F463" s="2">
        <v>350</v>
      </c>
      <c r="G463">
        <v>16086</v>
      </c>
      <c r="H463" s="2">
        <v>184989</v>
      </c>
      <c r="I463" s="2">
        <v>35619</v>
      </c>
      <c r="J463" s="3">
        <v>44614</v>
      </c>
      <c r="K463" t="s">
        <v>57</v>
      </c>
      <c r="L463" t="s">
        <v>29</v>
      </c>
      <c r="M463">
        <v>2022</v>
      </c>
      <c r="N463" t="s">
        <v>58</v>
      </c>
      <c r="O463" t="s">
        <v>59</v>
      </c>
      <c r="P463" t="s">
        <v>60</v>
      </c>
    </row>
    <row r="464" spans="1:16" x14ac:dyDescent="0.3">
      <c r="A464" t="s">
        <v>37</v>
      </c>
      <c r="B464" t="s">
        <v>170</v>
      </c>
      <c r="C464" t="s">
        <v>56</v>
      </c>
      <c r="D464" t="s">
        <v>153</v>
      </c>
      <c r="E464" s="2">
        <v>2338</v>
      </c>
      <c r="F464" s="2">
        <v>7</v>
      </c>
      <c r="G464">
        <v>1309.28</v>
      </c>
      <c r="H464" s="2">
        <v>15056.72</v>
      </c>
      <c r="I464" s="2">
        <v>3366.7199999999993</v>
      </c>
      <c r="J464" s="3">
        <v>44847</v>
      </c>
      <c r="K464" t="s">
        <v>85</v>
      </c>
      <c r="L464" t="s">
        <v>72</v>
      </c>
      <c r="M464">
        <v>2022</v>
      </c>
      <c r="N464" t="s">
        <v>171</v>
      </c>
      <c r="O464" t="s">
        <v>59</v>
      </c>
      <c r="P464" t="s">
        <v>60</v>
      </c>
    </row>
    <row r="465" spans="1:16" x14ac:dyDescent="0.3">
      <c r="A465" t="s">
        <v>37</v>
      </c>
      <c r="B465" t="s">
        <v>55</v>
      </c>
      <c r="C465" t="s">
        <v>56</v>
      </c>
      <c r="D465" t="s">
        <v>153</v>
      </c>
      <c r="E465" s="2">
        <v>381</v>
      </c>
      <c r="F465" s="2">
        <v>350</v>
      </c>
      <c r="G465">
        <v>10668</v>
      </c>
      <c r="H465" s="2">
        <v>122682</v>
      </c>
      <c r="I465" s="2">
        <v>23622</v>
      </c>
      <c r="J465" s="3">
        <v>44640</v>
      </c>
      <c r="K465" t="s">
        <v>82</v>
      </c>
      <c r="L465" t="s">
        <v>29</v>
      </c>
      <c r="M465">
        <v>2022</v>
      </c>
      <c r="N465" t="s">
        <v>58</v>
      </c>
      <c r="O465" t="s">
        <v>59</v>
      </c>
      <c r="P465" t="s">
        <v>60</v>
      </c>
    </row>
    <row r="466" spans="1:16" x14ac:dyDescent="0.3">
      <c r="A466" t="s">
        <v>37</v>
      </c>
      <c r="B466" t="s">
        <v>170</v>
      </c>
      <c r="C466" t="s">
        <v>56</v>
      </c>
      <c r="D466" t="s">
        <v>153</v>
      </c>
      <c r="E466" s="2">
        <v>422</v>
      </c>
      <c r="F466" s="2">
        <v>350</v>
      </c>
      <c r="G466">
        <v>11816</v>
      </c>
      <c r="H466" s="2">
        <v>135884</v>
      </c>
      <c r="I466" s="2">
        <v>26164</v>
      </c>
      <c r="J466" s="3">
        <v>44779</v>
      </c>
      <c r="K466" t="s">
        <v>39</v>
      </c>
      <c r="L466" t="s">
        <v>21</v>
      </c>
      <c r="M466">
        <v>2022</v>
      </c>
      <c r="N466" t="s">
        <v>171</v>
      </c>
      <c r="O466" t="s">
        <v>59</v>
      </c>
      <c r="P466" t="s">
        <v>60</v>
      </c>
    </row>
    <row r="467" spans="1:16" x14ac:dyDescent="0.3">
      <c r="A467" t="s">
        <v>33</v>
      </c>
      <c r="B467" t="s">
        <v>183</v>
      </c>
      <c r="C467" t="s">
        <v>56</v>
      </c>
      <c r="D467" t="s">
        <v>153</v>
      </c>
      <c r="E467" s="2">
        <v>2134</v>
      </c>
      <c r="F467" s="2">
        <v>300</v>
      </c>
      <c r="G467">
        <v>51216</v>
      </c>
      <c r="H467" s="2">
        <v>588984</v>
      </c>
      <c r="I467" s="2">
        <v>55484</v>
      </c>
      <c r="J467" s="3">
        <v>44640</v>
      </c>
      <c r="K467" t="s">
        <v>82</v>
      </c>
      <c r="L467" t="s">
        <v>29</v>
      </c>
      <c r="M467">
        <v>2022</v>
      </c>
      <c r="N467" t="s">
        <v>184</v>
      </c>
      <c r="O467" t="s">
        <v>59</v>
      </c>
      <c r="P467" t="s">
        <v>54</v>
      </c>
    </row>
    <row r="468" spans="1:16" x14ac:dyDescent="0.3">
      <c r="A468" t="s">
        <v>37</v>
      </c>
      <c r="B468" t="s">
        <v>151</v>
      </c>
      <c r="C468" t="s">
        <v>90</v>
      </c>
      <c r="D468" t="s">
        <v>153</v>
      </c>
      <c r="E468" s="2">
        <v>708</v>
      </c>
      <c r="F468" s="2">
        <v>20</v>
      </c>
      <c r="G468">
        <v>1132.8</v>
      </c>
      <c r="H468" s="2">
        <v>13027.2</v>
      </c>
      <c r="I468" s="2">
        <v>5947.2000000000007</v>
      </c>
      <c r="J468" s="3">
        <v>44305</v>
      </c>
      <c r="K468" t="s">
        <v>67</v>
      </c>
      <c r="L468" t="s">
        <v>68</v>
      </c>
      <c r="M468">
        <v>2022</v>
      </c>
      <c r="N468" t="s">
        <v>152</v>
      </c>
      <c r="O468" t="s">
        <v>92</v>
      </c>
      <c r="P468" t="s">
        <v>54</v>
      </c>
    </row>
    <row r="469" spans="1:16" x14ac:dyDescent="0.3">
      <c r="A469" t="s">
        <v>37</v>
      </c>
      <c r="B469" t="s">
        <v>185</v>
      </c>
      <c r="C469" t="s">
        <v>90</v>
      </c>
      <c r="D469" t="s">
        <v>153</v>
      </c>
      <c r="E469" s="2">
        <v>2907</v>
      </c>
      <c r="F469" s="2">
        <v>7</v>
      </c>
      <c r="G469">
        <v>1627.92</v>
      </c>
      <c r="H469" s="2">
        <v>18721.080000000002</v>
      </c>
      <c r="I469" s="2">
        <v>4186.0800000000017</v>
      </c>
      <c r="J469" s="3">
        <v>44676</v>
      </c>
      <c r="K469" t="s">
        <v>67</v>
      </c>
      <c r="L469" t="s">
        <v>68</v>
      </c>
      <c r="M469">
        <v>2022</v>
      </c>
      <c r="N469" t="s">
        <v>186</v>
      </c>
      <c r="O469" t="s">
        <v>92</v>
      </c>
      <c r="P469" t="s">
        <v>60</v>
      </c>
    </row>
    <row r="470" spans="1:16" x14ac:dyDescent="0.3">
      <c r="A470" t="s">
        <v>37</v>
      </c>
      <c r="B470" t="s">
        <v>126</v>
      </c>
      <c r="C470" t="s">
        <v>90</v>
      </c>
      <c r="D470" t="s">
        <v>153</v>
      </c>
      <c r="E470" s="2">
        <v>1366</v>
      </c>
      <c r="F470" s="2">
        <v>20</v>
      </c>
      <c r="G470">
        <v>2185.6</v>
      </c>
      <c r="H470" s="2">
        <v>25134.400000000001</v>
      </c>
      <c r="I470" s="2">
        <v>11474.400000000001</v>
      </c>
      <c r="J470" s="3">
        <v>44842</v>
      </c>
      <c r="K470" t="s">
        <v>85</v>
      </c>
      <c r="L470" t="s">
        <v>72</v>
      </c>
      <c r="M470">
        <v>2022</v>
      </c>
      <c r="N470" t="s">
        <v>127</v>
      </c>
      <c r="O470" t="s">
        <v>92</v>
      </c>
      <c r="P470" t="s">
        <v>36</v>
      </c>
    </row>
    <row r="471" spans="1:16" x14ac:dyDescent="0.3">
      <c r="A471" t="s">
        <v>33</v>
      </c>
      <c r="B471" t="s">
        <v>281</v>
      </c>
      <c r="C471" t="s">
        <v>90</v>
      </c>
      <c r="D471" t="s">
        <v>153</v>
      </c>
      <c r="E471" s="2">
        <v>2460</v>
      </c>
      <c r="F471" s="2">
        <v>300</v>
      </c>
      <c r="G471">
        <v>59040</v>
      </c>
      <c r="H471" s="2">
        <v>678960</v>
      </c>
      <c r="I471" s="2">
        <v>63960</v>
      </c>
      <c r="J471" s="3">
        <v>44727</v>
      </c>
      <c r="K471" t="s">
        <v>146</v>
      </c>
      <c r="L471" t="s">
        <v>68</v>
      </c>
      <c r="M471">
        <v>2022</v>
      </c>
      <c r="N471" t="s">
        <v>255</v>
      </c>
      <c r="O471" t="s">
        <v>92</v>
      </c>
      <c r="P471" t="s">
        <v>54</v>
      </c>
    </row>
    <row r="472" spans="1:16" x14ac:dyDescent="0.3">
      <c r="A472" t="s">
        <v>37</v>
      </c>
      <c r="B472" t="s">
        <v>126</v>
      </c>
      <c r="C472" t="s">
        <v>90</v>
      </c>
      <c r="D472" t="s">
        <v>153</v>
      </c>
      <c r="E472" s="2">
        <v>1520</v>
      </c>
      <c r="F472" s="2">
        <v>20</v>
      </c>
      <c r="G472">
        <v>2432</v>
      </c>
      <c r="H472" s="2">
        <v>27968</v>
      </c>
      <c r="I472" s="2">
        <v>12768</v>
      </c>
      <c r="J472" s="3">
        <v>44844</v>
      </c>
      <c r="K472" t="s">
        <v>85</v>
      </c>
      <c r="L472" t="s">
        <v>72</v>
      </c>
      <c r="M472">
        <v>2022</v>
      </c>
      <c r="N472" t="s">
        <v>127</v>
      </c>
      <c r="O472" t="s">
        <v>92</v>
      </c>
      <c r="P472" t="s">
        <v>36</v>
      </c>
    </row>
    <row r="473" spans="1:16" x14ac:dyDescent="0.3">
      <c r="A473" t="s">
        <v>25</v>
      </c>
      <c r="B473" t="s">
        <v>218</v>
      </c>
      <c r="C473" t="s">
        <v>90</v>
      </c>
      <c r="D473" t="s">
        <v>153</v>
      </c>
      <c r="E473" s="2">
        <v>711</v>
      </c>
      <c r="F473" s="2">
        <v>15</v>
      </c>
      <c r="G473">
        <v>853.2</v>
      </c>
      <c r="H473" s="2">
        <v>9811.7999999999993</v>
      </c>
      <c r="I473" s="2">
        <v>2701.7999999999993</v>
      </c>
      <c r="J473" s="3">
        <v>44769</v>
      </c>
      <c r="K473" t="s">
        <v>44</v>
      </c>
      <c r="L473" t="s">
        <v>21</v>
      </c>
      <c r="M473">
        <v>2022</v>
      </c>
      <c r="N473" t="s">
        <v>219</v>
      </c>
      <c r="O473" t="s">
        <v>92</v>
      </c>
      <c r="P473" t="s">
        <v>32</v>
      </c>
    </row>
    <row r="474" spans="1:16" x14ac:dyDescent="0.3">
      <c r="A474" t="s">
        <v>33</v>
      </c>
      <c r="B474" t="s">
        <v>281</v>
      </c>
      <c r="C474" t="s">
        <v>90</v>
      </c>
      <c r="D474" t="s">
        <v>153</v>
      </c>
      <c r="E474" s="2">
        <v>635</v>
      </c>
      <c r="F474" s="2">
        <v>300</v>
      </c>
      <c r="G474">
        <v>15240</v>
      </c>
      <c r="H474" s="2">
        <v>175260</v>
      </c>
      <c r="I474" s="2">
        <v>16510</v>
      </c>
      <c r="J474" s="3">
        <v>44739</v>
      </c>
      <c r="K474" t="s">
        <v>146</v>
      </c>
      <c r="L474" t="s">
        <v>68</v>
      </c>
      <c r="M474">
        <v>2022</v>
      </c>
      <c r="N474" t="s">
        <v>255</v>
      </c>
      <c r="O474" t="s">
        <v>92</v>
      </c>
      <c r="P474" t="s">
        <v>54</v>
      </c>
    </row>
    <row r="475" spans="1:16" x14ac:dyDescent="0.3">
      <c r="A475" t="s">
        <v>37</v>
      </c>
      <c r="B475" t="s">
        <v>122</v>
      </c>
      <c r="C475" t="s">
        <v>56</v>
      </c>
      <c r="D475" t="s">
        <v>153</v>
      </c>
      <c r="E475" s="2">
        <v>436.5</v>
      </c>
      <c r="F475" s="2">
        <v>20</v>
      </c>
      <c r="G475">
        <v>698.40000000000009</v>
      </c>
      <c r="H475" s="2">
        <v>8031.5999999999995</v>
      </c>
      <c r="I475" s="2">
        <v>3666.5999999999995</v>
      </c>
      <c r="J475" s="3">
        <v>44693</v>
      </c>
      <c r="K475" t="s">
        <v>104</v>
      </c>
      <c r="L475" t="s">
        <v>68</v>
      </c>
      <c r="M475">
        <v>2022</v>
      </c>
      <c r="N475" t="s">
        <v>123</v>
      </c>
      <c r="O475" t="s">
        <v>59</v>
      </c>
      <c r="P475" t="s">
        <v>24</v>
      </c>
    </row>
    <row r="476" spans="1:16" x14ac:dyDescent="0.3">
      <c r="A476" t="s">
        <v>33</v>
      </c>
      <c r="B476" t="s">
        <v>300</v>
      </c>
      <c r="C476" t="s">
        <v>62</v>
      </c>
      <c r="D476" t="s">
        <v>153</v>
      </c>
      <c r="E476" s="2">
        <v>1094</v>
      </c>
      <c r="F476" s="2">
        <v>300</v>
      </c>
      <c r="G476">
        <v>29538</v>
      </c>
      <c r="H476" s="2">
        <v>298662</v>
      </c>
      <c r="I476" s="2">
        <v>25162</v>
      </c>
      <c r="J476" s="3">
        <v>44915</v>
      </c>
      <c r="K476" t="s">
        <v>75</v>
      </c>
      <c r="L476" t="s">
        <v>72</v>
      </c>
      <c r="M476">
        <v>2022</v>
      </c>
      <c r="N476" t="s">
        <v>205</v>
      </c>
      <c r="O476" t="s">
        <v>65</v>
      </c>
      <c r="P476" t="s">
        <v>32</v>
      </c>
    </row>
    <row r="477" spans="1:16" x14ac:dyDescent="0.3">
      <c r="A477" t="s">
        <v>33</v>
      </c>
      <c r="B477" t="s">
        <v>204</v>
      </c>
      <c r="C477" t="s">
        <v>18</v>
      </c>
      <c r="D477" t="s">
        <v>153</v>
      </c>
      <c r="E477" s="2">
        <v>3802.5</v>
      </c>
      <c r="F477" s="2">
        <v>300</v>
      </c>
      <c r="G477">
        <v>102667.5</v>
      </c>
      <c r="H477" s="2">
        <v>1038082.5</v>
      </c>
      <c r="I477" s="2">
        <v>87457.5</v>
      </c>
      <c r="J477" s="3">
        <v>44901</v>
      </c>
      <c r="K477" t="s">
        <v>75</v>
      </c>
      <c r="L477" t="s">
        <v>72</v>
      </c>
      <c r="M477">
        <v>2022</v>
      </c>
      <c r="N477" t="s">
        <v>205</v>
      </c>
      <c r="O477" t="s">
        <v>23</v>
      </c>
      <c r="P477" t="s">
        <v>32</v>
      </c>
    </row>
    <row r="478" spans="1:16" x14ac:dyDescent="0.3">
      <c r="A478" t="s">
        <v>37</v>
      </c>
      <c r="B478" t="s">
        <v>176</v>
      </c>
      <c r="C478" t="s">
        <v>18</v>
      </c>
      <c r="D478" t="s">
        <v>153</v>
      </c>
      <c r="E478" s="2">
        <v>1666</v>
      </c>
      <c r="F478" s="2">
        <v>350</v>
      </c>
      <c r="G478">
        <v>52479</v>
      </c>
      <c r="H478" s="2">
        <v>530621</v>
      </c>
      <c r="I478" s="2">
        <v>97461</v>
      </c>
      <c r="J478" s="3">
        <v>44440</v>
      </c>
      <c r="K478" t="s">
        <v>20</v>
      </c>
      <c r="L478" t="s">
        <v>21</v>
      </c>
      <c r="M478">
        <v>2022</v>
      </c>
      <c r="N478" t="s">
        <v>177</v>
      </c>
      <c r="O478" t="s">
        <v>23</v>
      </c>
      <c r="P478" t="s">
        <v>36</v>
      </c>
    </row>
    <row r="479" spans="1:16" x14ac:dyDescent="0.3">
      <c r="A479" t="s">
        <v>42</v>
      </c>
      <c r="B479" t="s">
        <v>264</v>
      </c>
      <c r="C479" t="s">
        <v>18</v>
      </c>
      <c r="D479" t="s">
        <v>153</v>
      </c>
      <c r="E479" s="2">
        <v>2321</v>
      </c>
      <c r="F479" s="2">
        <v>12</v>
      </c>
      <c r="G479">
        <v>2506.6799999999998</v>
      </c>
      <c r="H479" s="2">
        <v>25345.32</v>
      </c>
      <c r="I479" s="2">
        <v>18382.32</v>
      </c>
      <c r="J479" s="3">
        <v>44368</v>
      </c>
      <c r="K479" t="s">
        <v>146</v>
      </c>
      <c r="L479" t="s">
        <v>68</v>
      </c>
      <c r="M479">
        <v>2022</v>
      </c>
      <c r="N479" t="s">
        <v>159</v>
      </c>
      <c r="O479" t="s">
        <v>23</v>
      </c>
      <c r="P479" t="s">
        <v>49</v>
      </c>
    </row>
    <row r="480" spans="1:16" x14ac:dyDescent="0.3">
      <c r="A480" t="s">
        <v>16</v>
      </c>
      <c r="B480" t="s">
        <v>77</v>
      </c>
      <c r="C480" t="s">
        <v>18</v>
      </c>
      <c r="D480" t="s">
        <v>153</v>
      </c>
      <c r="E480" s="2">
        <v>2797</v>
      </c>
      <c r="F480" s="2">
        <v>125</v>
      </c>
      <c r="G480">
        <v>31466.25</v>
      </c>
      <c r="H480" s="2">
        <v>318158.75</v>
      </c>
      <c r="I480" s="2">
        <v>-17481.25</v>
      </c>
      <c r="J480" s="3">
        <v>44493</v>
      </c>
      <c r="K480" t="s">
        <v>85</v>
      </c>
      <c r="L480" t="s">
        <v>72</v>
      </c>
      <c r="M480">
        <v>2022</v>
      </c>
      <c r="N480" t="s">
        <v>78</v>
      </c>
      <c r="O480" t="s">
        <v>23</v>
      </c>
      <c r="P480" t="s">
        <v>46</v>
      </c>
    </row>
    <row r="481" spans="1:16" x14ac:dyDescent="0.3">
      <c r="A481" t="s">
        <v>33</v>
      </c>
      <c r="B481" t="s">
        <v>34</v>
      </c>
      <c r="C481" t="s">
        <v>27</v>
      </c>
      <c r="D481" t="s">
        <v>153</v>
      </c>
      <c r="E481" s="2">
        <v>2565</v>
      </c>
      <c r="F481" s="2">
        <v>300</v>
      </c>
      <c r="G481">
        <v>69255</v>
      </c>
      <c r="H481" s="2">
        <v>700245</v>
      </c>
      <c r="I481" s="2">
        <v>58995</v>
      </c>
      <c r="J481" s="3">
        <v>44406</v>
      </c>
      <c r="K481" t="s">
        <v>44</v>
      </c>
      <c r="L481" t="s">
        <v>21</v>
      </c>
      <c r="M481">
        <v>2022</v>
      </c>
      <c r="N481" t="s">
        <v>35</v>
      </c>
      <c r="O481" t="s">
        <v>31</v>
      </c>
      <c r="P481" t="s">
        <v>36</v>
      </c>
    </row>
    <row r="482" spans="1:16" x14ac:dyDescent="0.3">
      <c r="A482" t="s">
        <v>37</v>
      </c>
      <c r="B482" t="s">
        <v>136</v>
      </c>
      <c r="C482" t="s">
        <v>27</v>
      </c>
      <c r="D482" t="s">
        <v>153</v>
      </c>
      <c r="E482" s="2">
        <v>2417</v>
      </c>
      <c r="F482" s="2">
        <v>350</v>
      </c>
      <c r="G482">
        <v>76135.5</v>
      </c>
      <c r="H482" s="2">
        <v>769814.5</v>
      </c>
      <c r="I482" s="2">
        <v>141394.5</v>
      </c>
      <c r="J482" s="3">
        <v>44675</v>
      </c>
      <c r="K482" t="s">
        <v>67</v>
      </c>
      <c r="L482" t="s">
        <v>68</v>
      </c>
      <c r="M482">
        <v>2022</v>
      </c>
      <c r="N482" t="s">
        <v>137</v>
      </c>
      <c r="O482" t="s">
        <v>31</v>
      </c>
      <c r="P482" t="s">
        <v>60</v>
      </c>
    </row>
    <row r="483" spans="1:16" x14ac:dyDescent="0.3">
      <c r="A483" t="s">
        <v>25</v>
      </c>
      <c r="B483" t="s">
        <v>108</v>
      </c>
      <c r="C483" t="s">
        <v>27</v>
      </c>
      <c r="D483" t="s">
        <v>153</v>
      </c>
      <c r="E483" s="2">
        <v>3675</v>
      </c>
      <c r="F483" s="2">
        <v>15</v>
      </c>
      <c r="G483">
        <v>4961.25</v>
      </c>
      <c r="H483" s="2">
        <v>50163.75</v>
      </c>
      <c r="I483" s="2">
        <v>13413.75</v>
      </c>
      <c r="J483" s="3">
        <v>44497</v>
      </c>
      <c r="K483" t="s">
        <v>85</v>
      </c>
      <c r="L483" t="s">
        <v>72</v>
      </c>
      <c r="M483">
        <v>2022</v>
      </c>
      <c r="N483" t="s">
        <v>109</v>
      </c>
      <c r="O483" t="s">
        <v>31</v>
      </c>
      <c r="P483" t="s">
        <v>32</v>
      </c>
    </row>
    <row r="484" spans="1:16" x14ac:dyDescent="0.3">
      <c r="A484" t="s">
        <v>33</v>
      </c>
      <c r="B484" t="s">
        <v>196</v>
      </c>
      <c r="C484" t="s">
        <v>27</v>
      </c>
      <c r="D484" t="s">
        <v>153</v>
      </c>
      <c r="E484" s="2">
        <v>1094</v>
      </c>
      <c r="F484" s="2">
        <v>300</v>
      </c>
      <c r="G484">
        <v>29538</v>
      </c>
      <c r="H484" s="2">
        <v>298662</v>
      </c>
      <c r="I484" s="2">
        <v>25162</v>
      </c>
      <c r="J484" s="3">
        <v>44378</v>
      </c>
      <c r="K484" t="s">
        <v>44</v>
      </c>
      <c r="L484" t="s">
        <v>21</v>
      </c>
      <c r="M484">
        <v>2022</v>
      </c>
      <c r="N484" t="s">
        <v>197</v>
      </c>
      <c r="O484" t="s">
        <v>31</v>
      </c>
      <c r="P484" t="s">
        <v>49</v>
      </c>
    </row>
    <row r="485" spans="1:16" x14ac:dyDescent="0.3">
      <c r="A485" t="s">
        <v>25</v>
      </c>
      <c r="B485" t="s">
        <v>26</v>
      </c>
      <c r="C485" t="s">
        <v>27</v>
      </c>
      <c r="D485" t="s">
        <v>153</v>
      </c>
      <c r="E485" s="2">
        <v>1227</v>
      </c>
      <c r="F485" s="2">
        <v>15</v>
      </c>
      <c r="G485">
        <v>1656.45</v>
      </c>
      <c r="H485" s="2">
        <v>16748.55</v>
      </c>
      <c r="I485" s="2">
        <v>4478.5499999999993</v>
      </c>
      <c r="J485" s="3">
        <v>44490</v>
      </c>
      <c r="K485" t="s">
        <v>85</v>
      </c>
      <c r="L485" t="s">
        <v>72</v>
      </c>
      <c r="M485">
        <v>2022</v>
      </c>
      <c r="N485" t="s">
        <v>30</v>
      </c>
      <c r="O485" t="s">
        <v>31</v>
      </c>
      <c r="P485" t="s">
        <v>32</v>
      </c>
    </row>
    <row r="486" spans="1:16" x14ac:dyDescent="0.3">
      <c r="A486" t="s">
        <v>33</v>
      </c>
      <c r="B486" t="s">
        <v>275</v>
      </c>
      <c r="C486" t="s">
        <v>27</v>
      </c>
      <c r="D486" t="s">
        <v>153</v>
      </c>
      <c r="E486" s="2">
        <v>1324</v>
      </c>
      <c r="F486" s="2">
        <v>300</v>
      </c>
      <c r="G486">
        <v>35748</v>
      </c>
      <c r="H486" s="2">
        <v>361452</v>
      </c>
      <c r="I486" s="2">
        <v>30452</v>
      </c>
      <c r="J486" s="3">
        <v>44351</v>
      </c>
      <c r="K486" t="s">
        <v>146</v>
      </c>
      <c r="L486" t="s">
        <v>68</v>
      </c>
      <c r="M486">
        <v>2022</v>
      </c>
      <c r="N486" t="s">
        <v>203</v>
      </c>
      <c r="O486" t="s">
        <v>31</v>
      </c>
      <c r="P486" t="s">
        <v>24</v>
      </c>
    </row>
    <row r="487" spans="1:16" x14ac:dyDescent="0.3">
      <c r="A487" t="s">
        <v>16</v>
      </c>
      <c r="B487" t="s">
        <v>269</v>
      </c>
      <c r="C487" t="s">
        <v>27</v>
      </c>
      <c r="D487" t="s">
        <v>153</v>
      </c>
      <c r="E487" s="2">
        <v>2797</v>
      </c>
      <c r="F487" s="2">
        <v>125</v>
      </c>
      <c r="G487">
        <v>31466.25</v>
      </c>
      <c r="H487" s="2">
        <v>318158.75</v>
      </c>
      <c r="I487" s="2">
        <v>-17481.25</v>
      </c>
      <c r="J487" s="3">
        <v>44403</v>
      </c>
      <c r="K487" t="s">
        <v>44</v>
      </c>
      <c r="L487" t="s">
        <v>21</v>
      </c>
      <c r="M487">
        <v>2022</v>
      </c>
      <c r="N487" t="s">
        <v>236</v>
      </c>
      <c r="O487" t="s">
        <v>31</v>
      </c>
      <c r="P487" t="s">
        <v>36</v>
      </c>
    </row>
    <row r="488" spans="1:16" x14ac:dyDescent="0.3">
      <c r="A488" t="s">
        <v>25</v>
      </c>
      <c r="B488" t="s">
        <v>235</v>
      </c>
      <c r="C488" t="s">
        <v>51</v>
      </c>
      <c r="D488" t="s">
        <v>153</v>
      </c>
      <c r="E488" s="2">
        <v>245</v>
      </c>
      <c r="F488" s="2">
        <v>15</v>
      </c>
      <c r="G488">
        <v>330.75</v>
      </c>
      <c r="H488" s="2">
        <v>3344.25</v>
      </c>
      <c r="I488" s="2">
        <v>894.25</v>
      </c>
      <c r="J488" s="3">
        <v>44924</v>
      </c>
      <c r="K488" t="s">
        <v>75</v>
      </c>
      <c r="L488" t="s">
        <v>72</v>
      </c>
      <c r="M488">
        <v>2022</v>
      </c>
      <c r="N488" t="s">
        <v>236</v>
      </c>
      <c r="O488" t="s">
        <v>53</v>
      </c>
      <c r="P488" t="s">
        <v>36</v>
      </c>
    </row>
    <row r="489" spans="1:16" x14ac:dyDescent="0.3">
      <c r="A489" t="s">
        <v>33</v>
      </c>
      <c r="B489" t="s">
        <v>251</v>
      </c>
      <c r="C489" t="s">
        <v>51</v>
      </c>
      <c r="D489" t="s">
        <v>153</v>
      </c>
      <c r="E489" s="2">
        <v>3793.5</v>
      </c>
      <c r="F489" s="2">
        <v>300</v>
      </c>
      <c r="G489">
        <v>102424.5</v>
      </c>
      <c r="H489" s="2">
        <v>1035625.5</v>
      </c>
      <c r="I489" s="2">
        <v>87250.5</v>
      </c>
      <c r="J489" s="3">
        <v>44688</v>
      </c>
      <c r="K489" t="s">
        <v>104</v>
      </c>
      <c r="L489" t="s">
        <v>68</v>
      </c>
      <c r="M489">
        <v>2022</v>
      </c>
      <c r="N489" t="s">
        <v>165</v>
      </c>
      <c r="O489" t="s">
        <v>53</v>
      </c>
      <c r="P489" t="s">
        <v>46</v>
      </c>
    </row>
    <row r="490" spans="1:16" x14ac:dyDescent="0.3">
      <c r="A490" t="s">
        <v>37</v>
      </c>
      <c r="B490" t="s">
        <v>112</v>
      </c>
      <c r="C490" t="s">
        <v>51</v>
      </c>
      <c r="D490" t="s">
        <v>153</v>
      </c>
      <c r="E490" s="2">
        <v>1307</v>
      </c>
      <c r="F490" s="2">
        <v>350</v>
      </c>
      <c r="G490">
        <v>41170.5</v>
      </c>
      <c r="H490" s="2">
        <v>416279.5</v>
      </c>
      <c r="I490" s="2">
        <v>76459.5</v>
      </c>
      <c r="J490" s="3">
        <v>44248</v>
      </c>
      <c r="K490" t="s">
        <v>57</v>
      </c>
      <c r="L490" t="s">
        <v>29</v>
      </c>
      <c r="M490">
        <v>2022</v>
      </c>
      <c r="N490" t="s">
        <v>113</v>
      </c>
      <c r="O490" t="s">
        <v>53</v>
      </c>
      <c r="P490" t="s">
        <v>41</v>
      </c>
    </row>
    <row r="491" spans="1:16" x14ac:dyDescent="0.3">
      <c r="A491" t="s">
        <v>16</v>
      </c>
      <c r="B491" t="s">
        <v>50</v>
      </c>
      <c r="C491" t="s">
        <v>51</v>
      </c>
      <c r="D491" t="s">
        <v>153</v>
      </c>
      <c r="E491" s="2">
        <v>567</v>
      </c>
      <c r="F491" s="2">
        <v>125</v>
      </c>
      <c r="G491">
        <v>6378.75</v>
      </c>
      <c r="H491" s="2">
        <v>64496.25</v>
      </c>
      <c r="I491" s="2">
        <v>-3543.75</v>
      </c>
      <c r="J491" s="3">
        <v>44524</v>
      </c>
      <c r="K491" t="s">
        <v>71</v>
      </c>
      <c r="L491" t="s">
        <v>72</v>
      </c>
      <c r="M491">
        <v>2022</v>
      </c>
      <c r="N491" t="s">
        <v>52</v>
      </c>
      <c r="O491" t="s">
        <v>53</v>
      </c>
      <c r="P491" t="s">
        <v>54</v>
      </c>
    </row>
    <row r="492" spans="1:16" x14ac:dyDescent="0.3">
      <c r="A492" t="s">
        <v>16</v>
      </c>
      <c r="B492" t="s">
        <v>116</v>
      </c>
      <c r="C492" t="s">
        <v>51</v>
      </c>
      <c r="D492" t="s">
        <v>153</v>
      </c>
      <c r="E492" s="2">
        <v>2110</v>
      </c>
      <c r="F492" s="2">
        <v>125</v>
      </c>
      <c r="G492">
        <v>23737.5</v>
      </c>
      <c r="H492" s="2">
        <v>240012.5</v>
      </c>
      <c r="I492" s="2">
        <v>-13187.5</v>
      </c>
      <c r="J492" s="3">
        <v>44218</v>
      </c>
      <c r="K492" t="s">
        <v>28</v>
      </c>
      <c r="L492" t="s">
        <v>29</v>
      </c>
      <c r="M492">
        <v>2022</v>
      </c>
      <c r="N492" t="s">
        <v>117</v>
      </c>
      <c r="O492" t="s">
        <v>53</v>
      </c>
      <c r="P492" t="s">
        <v>49</v>
      </c>
    </row>
    <row r="493" spans="1:16" x14ac:dyDescent="0.3">
      <c r="A493" t="s">
        <v>37</v>
      </c>
      <c r="B493" t="s">
        <v>84</v>
      </c>
      <c r="C493" t="s">
        <v>51</v>
      </c>
      <c r="D493" t="s">
        <v>153</v>
      </c>
      <c r="E493" s="2">
        <v>1269</v>
      </c>
      <c r="F493" s="2">
        <v>350</v>
      </c>
      <c r="G493">
        <v>39973.5</v>
      </c>
      <c r="H493" s="2">
        <v>404176.5</v>
      </c>
      <c r="I493" s="2">
        <v>74236.5</v>
      </c>
      <c r="J493" s="3">
        <v>44713</v>
      </c>
      <c r="K493" t="s">
        <v>146</v>
      </c>
      <c r="L493" t="s">
        <v>68</v>
      </c>
      <c r="M493">
        <v>2022</v>
      </c>
      <c r="N493" t="s">
        <v>86</v>
      </c>
      <c r="O493" t="s">
        <v>53</v>
      </c>
      <c r="P493" t="s">
        <v>60</v>
      </c>
    </row>
    <row r="494" spans="1:16" x14ac:dyDescent="0.3">
      <c r="A494" t="s">
        <v>42</v>
      </c>
      <c r="B494" t="s">
        <v>301</v>
      </c>
      <c r="C494" t="s">
        <v>56</v>
      </c>
      <c r="D494" t="s">
        <v>153</v>
      </c>
      <c r="E494" s="2">
        <v>1956</v>
      </c>
      <c r="F494" s="2">
        <v>12</v>
      </c>
      <c r="G494">
        <v>2112.48</v>
      </c>
      <c r="H494" s="2">
        <v>21359.52</v>
      </c>
      <c r="I494" s="2">
        <v>15491.52</v>
      </c>
      <c r="J494" s="3">
        <v>44522</v>
      </c>
      <c r="K494" t="s">
        <v>71</v>
      </c>
      <c r="L494" t="s">
        <v>72</v>
      </c>
      <c r="M494">
        <v>2022</v>
      </c>
      <c r="N494" t="s">
        <v>207</v>
      </c>
      <c r="O494" t="s">
        <v>59</v>
      </c>
      <c r="P494" t="s">
        <v>36</v>
      </c>
    </row>
    <row r="495" spans="1:16" x14ac:dyDescent="0.3">
      <c r="A495" t="s">
        <v>33</v>
      </c>
      <c r="B495" t="s">
        <v>120</v>
      </c>
      <c r="C495" t="s">
        <v>56</v>
      </c>
      <c r="D495" t="s">
        <v>153</v>
      </c>
      <c r="E495" s="2">
        <v>2659</v>
      </c>
      <c r="F495" s="2">
        <v>300</v>
      </c>
      <c r="G495">
        <v>71793</v>
      </c>
      <c r="H495" s="2">
        <v>725907</v>
      </c>
      <c r="I495" s="2">
        <v>61157</v>
      </c>
      <c r="J495" s="3">
        <v>44921</v>
      </c>
      <c r="K495" t="s">
        <v>75</v>
      </c>
      <c r="L495" t="s">
        <v>72</v>
      </c>
      <c r="M495">
        <v>2022</v>
      </c>
      <c r="N495" t="s">
        <v>121</v>
      </c>
      <c r="O495" t="s">
        <v>59</v>
      </c>
      <c r="P495" t="s">
        <v>60</v>
      </c>
    </row>
    <row r="496" spans="1:16" x14ac:dyDescent="0.3">
      <c r="A496" t="s">
        <v>37</v>
      </c>
      <c r="B496" t="s">
        <v>122</v>
      </c>
      <c r="C496" t="s">
        <v>56</v>
      </c>
      <c r="D496" t="s">
        <v>153</v>
      </c>
      <c r="E496" s="2">
        <v>1351.5</v>
      </c>
      <c r="F496" s="2">
        <v>350</v>
      </c>
      <c r="G496">
        <v>42572.25</v>
      </c>
      <c r="H496" s="2">
        <v>430452.75</v>
      </c>
      <c r="I496" s="2">
        <v>79062.75</v>
      </c>
      <c r="J496" s="3">
        <v>44886</v>
      </c>
      <c r="K496" t="s">
        <v>71</v>
      </c>
      <c r="L496" t="s">
        <v>72</v>
      </c>
      <c r="M496">
        <v>2022</v>
      </c>
      <c r="N496" t="s">
        <v>123</v>
      </c>
      <c r="O496" t="s">
        <v>59</v>
      </c>
      <c r="P496" t="s">
        <v>24</v>
      </c>
    </row>
    <row r="497" spans="1:16" x14ac:dyDescent="0.3">
      <c r="A497" t="s">
        <v>42</v>
      </c>
      <c r="B497" t="s">
        <v>191</v>
      </c>
      <c r="C497" t="s">
        <v>56</v>
      </c>
      <c r="D497" t="s">
        <v>153</v>
      </c>
      <c r="E497" s="2">
        <v>880</v>
      </c>
      <c r="F497" s="2">
        <v>12</v>
      </c>
      <c r="G497">
        <v>950.4</v>
      </c>
      <c r="H497" s="2">
        <v>9609.6</v>
      </c>
      <c r="I497" s="2">
        <v>6969.6</v>
      </c>
      <c r="J497" s="3">
        <v>44507</v>
      </c>
      <c r="K497" t="s">
        <v>71</v>
      </c>
      <c r="L497" t="s">
        <v>72</v>
      </c>
      <c r="M497">
        <v>2022</v>
      </c>
      <c r="N497" t="s">
        <v>192</v>
      </c>
      <c r="O497" t="s">
        <v>59</v>
      </c>
      <c r="P497" t="s">
        <v>36</v>
      </c>
    </row>
    <row r="498" spans="1:16" x14ac:dyDescent="0.3">
      <c r="A498" t="s">
        <v>33</v>
      </c>
      <c r="B498" t="s">
        <v>206</v>
      </c>
      <c r="C498" t="s">
        <v>56</v>
      </c>
      <c r="D498" t="s">
        <v>153</v>
      </c>
      <c r="E498" s="2">
        <v>1867</v>
      </c>
      <c r="F498" s="2">
        <v>300</v>
      </c>
      <c r="G498">
        <v>50409</v>
      </c>
      <c r="H498" s="2">
        <v>509691</v>
      </c>
      <c r="I498" s="2">
        <v>42941</v>
      </c>
      <c r="J498" s="3">
        <v>44220</v>
      </c>
      <c r="K498" t="s">
        <v>28</v>
      </c>
      <c r="L498" t="s">
        <v>29</v>
      </c>
      <c r="M498">
        <v>2022</v>
      </c>
      <c r="N498" t="s">
        <v>207</v>
      </c>
      <c r="O498" t="s">
        <v>59</v>
      </c>
      <c r="P498" t="s">
        <v>36</v>
      </c>
    </row>
    <row r="499" spans="1:16" x14ac:dyDescent="0.3">
      <c r="A499" t="s">
        <v>25</v>
      </c>
      <c r="B499" t="s">
        <v>228</v>
      </c>
      <c r="C499" t="s">
        <v>56</v>
      </c>
      <c r="D499" t="s">
        <v>153</v>
      </c>
      <c r="E499" s="2">
        <v>1227</v>
      </c>
      <c r="F499" s="2">
        <v>15</v>
      </c>
      <c r="G499">
        <v>1656.45</v>
      </c>
      <c r="H499" s="2">
        <v>16748.55</v>
      </c>
      <c r="I499" s="2">
        <v>4478.5499999999993</v>
      </c>
      <c r="J499" s="3">
        <v>44859</v>
      </c>
      <c r="K499" t="s">
        <v>85</v>
      </c>
      <c r="L499" t="s">
        <v>72</v>
      </c>
      <c r="M499">
        <v>2022</v>
      </c>
      <c r="N499" t="s">
        <v>161</v>
      </c>
      <c r="O499" t="s">
        <v>59</v>
      </c>
      <c r="P499" t="s">
        <v>54</v>
      </c>
    </row>
    <row r="500" spans="1:16" x14ac:dyDescent="0.3">
      <c r="A500" t="s">
        <v>16</v>
      </c>
      <c r="B500" t="s">
        <v>279</v>
      </c>
      <c r="C500" t="s">
        <v>56</v>
      </c>
      <c r="D500" t="s">
        <v>153</v>
      </c>
      <c r="E500" s="2">
        <v>877</v>
      </c>
      <c r="F500" s="2">
        <v>125</v>
      </c>
      <c r="G500">
        <v>9866.25</v>
      </c>
      <c r="H500" s="2">
        <v>99758.75</v>
      </c>
      <c r="I500" s="2">
        <v>-5481.25</v>
      </c>
      <c r="J500" s="3">
        <v>44859</v>
      </c>
      <c r="K500" t="s">
        <v>85</v>
      </c>
      <c r="L500" t="s">
        <v>72</v>
      </c>
      <c r="M500">
        <v>2022</v>
      </c>
      <c r="N500" t="s">
        <v>165</v>
      </c>
      <c r="O500" t="s">
        <v>59</v>
      </c>
      <c r="P500" t="s">
        <v>46</v>
      </c>
    </row>
    <row r="501" spans="1:16" x14ac:dyDescent="0.3">
      <c r="A501" t="s">
        <v>37</v>
      </c>
      <c r="B501" t="s">
        <v>185</v>
      </c>
      <c r="C501" t="s">
        <v>90</v>
      </c>
      <c r="D501" t="s">
        <v>153</v>
      </c>
      <c r="E501" s="2">
        <v>2071</v>
      </c>
      <c r="F501" s="2">
        <v>350</v>
      </c>
      <c r="G501">
        <v>65236.5</v>
      </c>
      <c r="H501" s="2">
        <v>659613.5</v>
      </c>
      <c r="I501" s="2">
        <v>121153.5</v>
      </c>
      <c r="J501" s="3">
        <v>44791</v>
      </c>
      <c r="K501" t="s">
        <v>39</v>
      </c>
      <c r="L501" t="s">
        <v>21</v>
      </c>
      <c r="M501">
        <v>2022</v>
      </c>
      <c r="N501" t="s">
        <v>186</v>
      </c>
      <c r="O501" t="s">
        <v>92</v>
      </c>
      <c r="P501" t="s">
        <v>60</v>
      </c>
    </row>
    <row r="502" spans="1:16" x14ac:dyDescent="0.3">
      <c r="A502" t="s">
        <v>37</v>
      </c>
      <c r="B502" t="s">
        <v>151</v>
      </c>
      <c r="C502" t="s">
        <v>90</v>
      </c>
      <c r="D502" t="s">
        <v>153</v>
      </c>
      <c r="E502" s="2">
        <v>1269</v>
      </c>
      <c r="F502" s="2">
        <v>350</v>
      </c>
      <c r="G502">
        <v>39973.5</v>
      </c>
      <c r="H502" s="2">
        <v>404176.5</v>
      </c>
      <c r="I502" s="2">
        <v>74236.5</v>
      </c>
      <c r="J502" s="3">
        <v>44292</v>
      </c>
      <c r="K502" t="s">
        <v>67</v>
      </c>
      <c r="L502" t="s">
        <v>68</v>
      </c>
      <c r="M502">
        <v>2022</v>
      </c>
      <c r="N502" t="s">
        <v>152</v>
      </c>
      <c r="O502" t="s">
        <v>92</v>
      </c>
      <c r="P502" t="s">
        <v>54</v>
      </c>
    </row>
    <row r="503" spans="1:16" x14ac:dyDescent="0.3">
      <c r="A503" t="s">
        <v>37</v>
      </c>
      <c r="B503" t="s">
        <v>239</v>
      </c>
      <c r="C503" t="s">
        <v>90</v>
      </c>
      <c r="D503" t="s">
        <v>153</v>
      </c>
      <c r="E503" s="2">
        <v>1694</v>
      </c>
      <c r="F503" s="2">
        <v>20</v>
      </c>
      <c r="G503">
        <v>3049.2</v>
      </c>
      <c r="H503" s="2">
        <v>30830.799999999999</v>
      </c>
      <c r="I503" s="2">
        <v>13890.8</v>
      </c>
      <c r="J503" s="3">
        <v>44304</v>
      </c>
      <c r="K503" t="s">
        <v>67</v>
      </c>
      <c r="L503" t="s">
        <v>68</v>
      </c>
      <c r="M503">
        <v>2022</v>
      </c>
      <c r="N503" t="s">
        <v>173</v>
      </c>
      <c r="O503" t="s">
        <v>92</v>
      </c>
      <c r="P503" t="s">
        <v>46</v>
      </c>
    </row>
    <row r="504" spans="1:16" x14ac:dyDescent="0.3">
      <c r="A504" t="s">
        <v>37</v>
      </c>
      <c r="B504" t="s">
        <v>154</v>
      </c>
      <c r="C504" t="s">
        <v>62</v>
      </c>
      <c r="D504" t="s">
        <v>153</v>
      </c>
      <c r="E504" s="2">
        <v>663</v>
      </c>
      <c r="F504" s="2">
        <v>20</v>
      </c>
      <c r="G504">
        <v>1193.4000000000001</v>
      </c>
      <c r="H504" s="2">
        <v>12066.6</v>
      </c>
      <c r="I504" s="2">
        <v>5436.6</v>
      </c>
      <c r="J504" s="3">
        <v>44498</v>
      </c>
      <c r="K504" t="s">
        <v>85</v>
      </c>
      <c r="L504" t="s">
        <v>72</v>
      </c>
      <c r="M504">
        <v>2022</v>
      </c>
      <c r="N504" t="s">
        <v>155</v>
      </c>
      <c r="O504" t="s">
        <v>65</v>
      </c>
      <c r="P504" t="s">
        <v>60</v>
      </c>
    </row>
    <row r="505" spans="1:16" x14ac:dyDescent="0.3">
      <c r="A505" t="s">
        <v>37</v>
      </c>
      <c r="B505" t="s">
        <v>140</v>
      </c>
      <c r="C505" t="s">
        <v>62</v>
      </c>
      <c r="D505" t="s">
        <v>153</v>
      </c>
      <c r="E505" s="2">
        <v>819</v>
      </c>
      <c r="F505" s="2">
        <v>7</v>
      </c>
      <c r="G505">
        <v>515.97</v>
      </c>
      <c r="H505" s="2">
        <v>5217.03</v>
      </c>
      <c r="I505" s="2">
        <v>1122.03</v>
      </c>
      <c r="J505" s="3">
        <v>44452</v>
      </c>
      <c r="K505" t="s">
        <v>20</v>
      </c>
      <c r="L505" t="s">
        <v>21</v>
      </c>
      <c r="M505">
        <v>2022</v>
      </c>
      <c r="N505" t="s">
        <v>141</v>
      </c>
      <c r="O505" t="s">
        <v>65</v>
      </c>
      <c r="P505" t="s">
        <v>32</v>
      </c>
    </row>
    <row r="506" spans="1:16" x14ac:dyDescent="0.3">
      <c r="A506" t="s">
        <v>42</v>
      </c>
      <c r="B506" t="s">
        <v>66</v>
      </c>
      <c r="C506" t="s">
        <v>62</v>
      </c>
      <c r="D506" t="s">
        <v>153</v>
      </c>
      <c r="E506" s="2">
        <v>1580</v>
      </c>
      <c r="F506" s="2">
        <v>12</v>
      </c>
      <c r="G506">
        <v>1706.4</v>
      </c>
      <c r="H506" s="2">
        <v>17253.599999999999</v>
      </c>
      <c r="I506" s="2">
        <v>12513.599999999999</v>
      </c>
      <c r="J506" s="3">
        <v>44582</v>
      </c>
      <c r="K506" t="s">
        <v>28</v>
      </c>
      <c r="L506" t="s">
        <v>29</v>
      </c>
      <c r="M506">
        <v>2022</v>
      </c>
      <c r="N506" t="s">
        <v>69</v>
      </c>
      <c r="O506" t="s">
        <v>65</v>
      </c>
      <c r="P506" t="s">
        <v>32</v>
      </c>
    </row>
    <row r="507" spans="1:16" x14ac:dyDescent="0.3">
      <c r="A507" t="s">
        <v>37</v>
      </c>
      <c r="B507" t="s">
        <v>189</v>
      </c>
      <c r="C507" t="s">
        <v>62</v>
      </c>
      <c r="D507" t="s">
        <v>153</v>
      </c>
      <c r="E507" s="2">
        <v>521</v>
      </c>
      <c r="F507" s="2">
        <v>7</v>
      </c>
      <c r="G507">
        <v>328.23</v>
      </c>
      <c r="H507" s="2">
        <v>3318.77</v>
      </c>
      <c r="I507" s="2">
        <v>713.77</v>
      </c>
      <c r="J507" s="3">
        <v>44495</v>
      </c>
      <c r="K507" t="s">
        <v>85</v>
      </c>
      <c r="L507" t="s">
        <v>72</v>
      </c>
      <c r="M507">
        <v>2022</v>
      </c>
      <c r="N507" t="s">
        <v>190</v>
      </c>
      <c r="O507" t="s">
        <v>65</v>
      </c>
      <c r="P507" t="s">
        <v>32</v>
      </c>
    </row>
    <row r="508" spans="1:16" x14ac:dyDescent="0.3">
      <c r="A508" t="s">
        <v>37</v>
      </c>
      <c r="B508" t="s">
        <v>110</v>
      </c>
      <c r="C508" t="s">
        <v>27</v>
      </c>
      <c r="D508" t="s">
        <v>153</v>
      </c>
      <c r="E508" s="2">
        <v>973</v>
      </c>
      <c r="F508" s="2">
        <v>20</v>
      </c>
      <c r="G508">
        <v>1751.4</v>
      </c>
      <c r="H508" s="2">
        <v>17708.599999999999</v>
      </c>
      <c r="I508" s="2">
        <v>7978.5999999999985</v>
      </c>
      <c r="J508" s="3">
        <v>44202</v>
      </c>
      <c r="K508" t="s">
        <v>28</v>
      </c>
      <c r="L508" t="s">
        <v>29</v>
      </c>
      <c r="M508">
        <v>2022</v>
      </c>
      <c r="N508" t="s">
        <v>111</v>
      </c>
      <c r="O508" t="s">
        <v>31</v>
      </c>
      <c r="P508" t="s">
        <v>36</v>
      </c>
    </row>
    <row r="509" spans="1:16" x14ac:dyDescent="0.3">
      <c r="A509" t="s">
        <v>37</v>
      </c>
      <c r="B509" t="s">
        <v>136</v>
      </c>
      <c r="C509" t="s">
        <v>27</v>
      </c>
      <c r="D509" t="s">
        <v>153</v>
      </c>
      <c r="E509" s="2">
        <v>1038</v>
      </c>
      <c r="F509" s="2">
        <v>20</v>
      </c>
      <c r="G509">
        <v>1868.4</v>
      </c>
      <c r="H509" s="2">
        <v>18891.599999999999</v>
      </c>
      <c r="I509" s="2">
        <v>8511.5999999999985</v>
      </c>
      <c r="J509" s="3">
        <v>44778</v>
      </c>
      <c r="K509" t="s">
        <v>39</v>
      </c>
      <c r="L509" t="s">
        <v>21</v>
      </c>
      <c r="M509">
        <v>2022</v>
      </c>
      <c r="N509" t="s">
        <v>137</v>
      </c>
      <c r="O509" t="s">
        <v>31</v>
      </c>
      <c r="P509" t="s">
        <v>60</v>
      </c>
    </row>
    <row r="510" spans="1:16" x14ac:dyDescent="0.3">
      <c r="A510" t="s">
        <v>37</v>
      </c>
      <c r="B510" t="s">
        <v>200</v>
      </c>
      <c r="C510" t="s">
        <v>27</v>
      </c>
      <c r="D510" t="s">
        <v>153</v>
      </c>
      <c r="E510" s="2">
        <v>360</v>
      </c>
      <c r="F510" s="2">
        <v>7</v>
      </c>
      <c r="G510">
        <v>226.8</v>
      </c>
      <c r="H510" s="2">
        <v>2293.1999999999998</v>
      </c>
      <c r="I510" s="2">
        <v>493.19999999999982</v>
      </c>
      <c r="J510" s="3">
        <v>44331</v>
      </c>
      <c r="K510" t="s">
        <v>104</v>
      </c>
      <c r="L510" t="s">
        <v>68</v>
      </c>
      <c r="M510">
        <v>2022</v>
      </c>
      <c r="N510" t="s">
        <v>201</v>
      </c>
      <c r="O510" t="s">
        <v>31</v>
      </c>
      <c r="P510" t="s">
        <v>60</v>
      </c>
    </row>
    <row r="511" spans="1:16" x14ac:dyDescent="0.3">
      <c r="A511" t="s">
        <v>42</v>
      </c>
      <c r="B511" t="s">
        <v>277</v>
      </c>
      <c r="C511" t="s">
        <v>51</v>
      </c>
      <c r="D511" t="s">
        <v>153</v>
      </c>
      <c r="E511" s="2">
        <v>1967</v>
      </c>
      <c r="F511" s="2">
        <v>12</v>
      </c>
      <c r="G511">
        <v>2124.36</v>
      </c>
      <c r="H511" s="2">
        <v>21479.64</v>
      </c>
      <c r="I511" s="2">
        <v>15578.64</v>
      </c>
      <c r="J511" s="3">
        <v>44257</v>
      </c>
      <c r="K511" t="s">
        <v>82</v>
      </c>
      <c r="L511" t="s">
        <v>29</v>
      </c>
      <c r="M511">
        <v>2022</v>
      </c>
      <c r="N511" t="s">
        <v>207</v>
      </c>
      <c r="O511" t="s">
        <v>53</v>
      </c>
      <c r="P511" t="s">
        <v>36</v>
      </c>
    </row>
    <row r="512" spans="1:16" x14ac:dyDescent="0.3">
      <c r="A512" t="s">
        <v>25</v>
      </c>
      <c r="B512" t="s">
        <v>235</v>
      </c>
      <c r="C512" t="s">
        <v>51</v>
      </c>
      <c r="D512" t="s">
        <v>153</v>
      </c>
      <c r="E512" s="2">
        <v>2628</v>
      </c>
      <c r="F512" s="2">
        <v>15</v>
      </c>
      <c r="G512">
        <v>3547.8</v>
      </c>
      <c r="H512" s="2">
        <v>35872.199999999997</v>
      </c>
      <c r="I512" s="2">
        <v>9592.1999999999971</v>
      </c>
      <c r="J512" s="3">
        <v>44551</v>
      </c>
      <c r="K512" t="s">
        <v>75</v>
      </c>
      <c r="L512" t="s">
        <v>72</v>
      </c>
      <c r="M512">
        <v>2022</v>
      </c>
      <c r="N512" t="s">
        <v>236</v>
      </c>
      <c r="O512" t="s">
        <v>53</v>
      </c>
      <c r="P512" t="s">
        <v>36</v>
      </c>
    </row>
    <row r="513" spans="1:16" x14ac:dyDescent="0.3">
      <c r="A513" t="s">
        <v>37</v>
      </c>
      <c r="B513" t="s">
        <v>170</v>
      </c>
      <c r="C513" t="s">
        <v>56</v>
      </c>
      <c r="D513" t="s">
        <v>153</v>
      </c>
      <c r="E513" s="2">
        <v>360</v>
      </c>
      <c r="F513" s="2">
        <v>7</v>
      </c>
      <c r="G513">
        <v>226.8</v>
      </c>
      <c r="H513" s="2">
        <v>2293.1999999999998</v>
      </c>
      <c r="I513" s="2">
        <v>493.19999999999982</v>
      </c>
      <c r="J513" s="3">
        <v>44899</v>
      </c>
      <c r="K513" t="s">
        <v>75</v>
      </c>
      <c r="L513" t="s">
        <v>72</v>
      </c>
      <c r="M513">
        <v>2022</v>
      </c>
      <c r="N513" t="s">
        <v>171</v>
      </c>
      <c r="O513" t="s">
        <v>59</v>
      </c>
      <c r="P513" t="s">
        <v>60</v>
      </c>
    </row>
    <row r="514" spans="1:16" x14ac:dyDescent="0.3">
      <c r="A514" t="s">
        <v>37</v>
      </c>
      <c r="B514" t="s">
        <v>124</v>
      </c>
      <c r="C514" t="s">
        <v>56</v>
      </c>
      <c r="D514" t="s">
        <v>153</v>
      </c>
      <c r="E514" s="2">
        <v>521</v>
      </c>
      <c r="F514" s="2">
        <v>7</v>
      </c>
      <c r="G514">
        <v>328.23</v>
      </c>
      <c r="H514" s="2">
        <v>3318.77</v>
      </c>
      <c r="I514" s="2">
        <v>713.77</v>
      </c>
      <c r="J514" s="3">
        <v>44605</v>
      </c>
      <c r="K514" t="s">
        <v>57</v>
      </c>
      <c r="L514" t="s">
        <v>29</v>
      </c>
      <c r="M514">
        <v>2022</v>
      </c>
      <c r="N514" t="s">
        <v>125</v>
      </c>
      <c r="O514" t="s">
        <v>59</v>
      </c>
      <c r="P514" t="s">
        <v>32</v>
      </c>
    </row>
    <row r="515" spans="1:16" x14ac:dyDescent="0.3">
      <c r="A515" t="s">
        <v>37</v>
      </c>
      <c r="B515" t="s">
        <v>239</v>
      </c>
      <c r="C515" t="s">
        <v>90</v>
      </c>
      <c r="D515" t="s">
        <v>153</v>
      </c>
      <c r="E515" s="2">
        <v>1038</v>
      </c>
      <c r="F515" s="2">
        <v>20</v>
      </c>
      <c r="G515">
        <v>1868.4</v>
      </c>
      <c r="H515" s="2">
        <v>18891.599999999999</v>
      </c>
      <c r="I515" s="2">
        <v>8511.5999999999985</v>
      </c>
      <c r="J515" s="3">
        <v>44737</v>
      </c>
      <c r="K515" t="s">
        <v>146</v>
      </c>
      <c r="L515" t="s">
        <v>68</v>
      </c>
      <c r="M515">
        <v>2022</v>
      </c>
      <c r="N515" t="s">
        <v>173</v>
      </c>
      <c r="O515" t="s">
        <v>92</v>
      </c>
      <c r="P515" t="s">
        <v>46</v>
      </c>
    </row>
    <row r="516" spans="1:16" x14ac:dyDescent="0.3">
      <c r="A516" t="s">
        <v>25</v>
      </c>
      <c r="B516" t="s">
        <v>254</v>
      </c>
      <c r="C516" t="s">
        <v>90</v>
      </c>
      <c r="D516" t="s">
        <v>153</v>
      </c>
      <c r="E516" s="2">
        <v>1630.5</v>
      </c>
      <c r="F516" s="2">
        <v>15</v>
      </c>
      <c r="G516">
        <v>2201.1750000000002</v>
      </c>
      <c r="H516" s="2">
        <v>22256.324999999997</v>
      </c>
      <c r="I516" s="2">
        <v>5951.3249999999989</v>
      </c>
      <c r="J516" s="3">
        <v>44325</v>
      </c>
      <c r="K516" t="s">
        <v>104</v>
      </c>
      <c r="L516" t="s">
        <v>68</v>
      </c>
      <c r="M516">
        <v>2022</v>
      </c>
      <c r="N516" t="s">
        <v>255</v>
      </c>
      <c r="O516" t="s">
        <v>92</v>
      </c>
      <c r="P516" t="s">
        <v>54</v>
      </c>
    </row>
    <row r="517" spans="1:16" x14ac:dyDescent="0.3">
      <c r="A517" t="s">
        <v>37</v>
      </c>
      <c r="B517" t="s">
        <v>249</v>
      </c>
      <c r="C517" t="s">
        <v>18</v>
      </c>
      <c r="D517" t="s">
        <v>223</v>
      </c>
      <c r="E517" s="2">
        <v>2328</v>
      </c>
      <c r="F517" s="2">
        <v>7</v>
      </c>
      <c r="G517">
        <v>1629.6</v>
      </c>
      <c r="H517" s="2">
        <v>14666.4</v>
      </c>
      <c r="I517" s="2">
        <v>3026.3999999999996</v>
      </c>
      <c r="J517" s="3">
        <v>44491</v>
      </c>
      <c r="K517" t="s">
        <v>85</v>
      </c>
      <c r="L517" t="s">
        <v>72</v>
      </c>
      <c r="M517">
        <v>2022</v>
      </c>
      <c r="N517" t="s">
        <v>207</v>
      </c>
      <c r="O517" t="s">
        <v>23</v>
      </c>
      <c r="P517" t="s">
        <v>36</v>
      </c>
    </row>
    <row r="518" spans="1:16" x14ac:dyDescent="0.3">
      <c r="A518" t="s">
        <v>16</v>
      </c>
      <c r="B518" t="s">
        <v>61</v>
      </c>
      <c r="C518" t="s">
        <v>62</v>
      </c>
      <c r="D518" t="s">
        <v>223</v>
      </c>
      <c r="E518" s="2">
        <v>3445.5</v>
      </c>
      <c r="F518" s="2">
        <v>125</v>
      </c>
      <c r="G518">
        <v>43068.75</v>
      </c>
      <c r="H518" s="2">
        <v>387618.75</v>
      </c>
      <c r="I518" s="2">
        <v>-25841.25</v>
      </c>
      <c r="J518" s="3">
        <v>44494</v>
      </c>
      <c r="K518" t="s">
        <v>85</v>
      </c>
      <c r="L518" t="s">
        <v>72</v>
      </c>
      <c r="M518">
        <v>2022</v>
      </c>
      <c r="N518" t="s">
        <v>64</v>
      </c>
      <c r="O518" t="s">
        <v>65</v>
      </c>
      <c r="P518" t="s">
        <v>24</v>
      </c>
    </row>
    <row r="519" spans="1:16" x14ac:dyDescent="0.3">
      <c r="A519" t="s">
        <v>37</v>
      </c>
      <c r="B519" t="s">
        <v>249</v>
      </c>
      <c r="C519" t="s">
        <v>18</v>
      </c>
      <c r="D519" t="s">
        <v>223</v>
      </c>
      <c r="E519" s="2">
        <v>2313</v>
      </c>
      <c r="F519" s="2">
        <v>350</v>
      </c>
      <c r="G519">
        <v>80955</v>
      </c>
      <c r="H519" s="2">
        <v>728595</v>
      </c>
      <c r="I519" s="2">
        <v>127215</v>
      </c>
      <c r="J519" s="3">
        <v>44719</v>
      </c>
      <c r="K519" t="s">
        <v>146</v>
      </c>
      <c r="L519" t="s">
        <v>68</v>
      </c>
      <c r="M519">
        <v>2022</v>
      </c>
      <c r="N519" t="s">
        <v>207</v>
      </c>
      <c r="O519" t="s">
        <v>23</v>
      </c>
      <c r="P519" t="s">
        <v>36</v>
      </c>
    </row>
    <row r="520" spans="1:16" x14ac:dyDescent="0.3">
      <c r="A520" t="s">
        <v>25</v>
      </c>
      <c r="B520" t="s">
        <v>299</v>
      </c>
      <c r="C520" t="s">
        <v>18</v>
      </c>
      <c r="D520" t="s">
        <v>223</v>
      </c>
      <c r="E520" s="2">
        <v>2072</v>
      </c>
      <c r="F520" s="2">
        <v>15</v>
      </c>
      <c r="G520">
        <v>3108</v>
      </c>
      <c r="H520" s="2">
        <v>27972</v>
      </c>
      <c r="I520" s="2">
        <v>7252</v>
      </c>
      <c r="J520" s="3">
        <v>44309</v>
      </c>
      <c r="K520" t="s">
        <v>67</v>
      </c>
      <c r="L520" t="s">
        <v>68</v>
      </c>
      <c r="M520">
        <v>2022</v>
      </c>
      <c r="N520" t="s">
        <v>203</v>
      </c>
      <c r="O520" t="s">
        <v>23</v>
      </c>
      <c r="P520" t="s">
        <v>24</v>
      </c>
    </row>
    <row r="521" spans="1:16" x14ac:dyDescent="0.3">
      <c r="A521" t="s">
        <v>37</v>
      </c>
      <c r="B521" t="s">
        <v>162</v>
      </c>
      <c r="C521" t="s">
        <v>27</v>
      </c>
      <c r="D521" t="s">
        <v>223</v>
      </c>
      <c r="E521" s="2">
        <v>1954</v>
      </c>
      <c r="F521" s="2">
        <v>20</v>
      </c>
      <c r="G521">
        <v>3908</v>
      </c>
      <c r="H521" s="2">
        <v>35172</v>
      </c>
      <c r="I521" s="2">
        <v>15632</v>
      </c>
      <c r="J521" s="3">
        <v>44212</v>
      </c>
      <c r="K521" t="s">
        <v>28</v>
      </c>
      <c r="L521" t="s">
        <v>29</v>
      </c>
      <c r="M521">
        <v>2022</v>
      </c>
      <c r="N521" t="s">
        <v>163</v>
      </c>
      <c r="O521" t="s">
        <v>31</v>
      </c>
      <c r="P521" t="s">
        <v>41</v>
      </c>
    </row>
    <row r="522" spans="1:16" x14ac:dyDescent="0.3">
      <c r="A522" t="s">
        <v>33</v>
      </c>
      <c r="B522" t="s">
        <v>34</v>
      </c>
      <c r="C522" t="s">
        <v>27</v>
      </c>
      <c r="D522" t="s">
        <v>223</v>
      </c>
      <c r="E522" s="2">
        <v>591</v>
      </c>
      <c r="F522" s="2">
        <v>300</v>
      </c>
      <c r="G522">
        <v>17730</v>
      </c>
      <c r="H522" s="2">
        <v>159570</v>
      </c>
      <c r="I522" s="2">
        <v>11820</v>
      </c>
      <c r="J522" s="3">
        <v>44673</v>
      </c>
      <c r="K522" t="s">
        <v>67</v>
      </c>
      <c r="L522" t="s">
        <v>68</v>
      </c>
      <c r="M522">
        <v>2022</v>
      </c>
      <c r="N522" t="s">
        <v>35</v>
      </c>
      <c r="O522" t="s">
        <v>31</v>
      </c>
      <c r="P522" t="s">
        <v>36</v>
      </c>
    </row>
    <row r="523" spans="1:16" x14ac:dyDescent="0.3">
      <c r="A523" t="s">
        <v>37</v>
      </c>
      <c r="B523" t="s">
        <v>200</v>
      </c>
      <c r="C523" t="s">
        <v>27</v>
      </c>
      <c r="D523" t="s">
        <v>223</v>
      </c>
      <c r="E523" s="2">
        <v>241</v>
      </c>
      <c r="F523" s="2">
        <v>20</v>
      </c>
      <c r="G523">
        <v>482</v>
      </c>
      <c r="H523" s="2">
        <v>4338</v>
      </c>
      <c r="I523" s="2">
        <v>1928</v>
      </c>
      <c r="J523" s="3">
        <v>44858</v>
      </c>
      <c r="K523" t="s">
        <v>85</v>
      </c>
      <c r="L523" t="s">
        <v>72</v>
      </c>
      <c r="M523">
        <v>2022</v>
      </c>
      <c r="N523" t="s">
        <v>201</v>
      </c>
      <c r="O523" t="s">
        <v>31</v>
      </c>
      <c r="P523" t="s">
        <v>60</v>
      </c>
    </row>
    <row r="524" spans="1:16" x14ac:dyDescent="0.3">
      <c r="A524" t="s">
        <v>25</v>
      </c>
      <c r="B524" t="s">
        <v>244</v>
      </c>
      <c r="C524" t="s">
        <v>51</v>
      </c>
      <c r="D524" t="s">
        <v>223</v>
      </c>
      <c r="E524" s="2">
        <v>681</v>
      </c>
      <c r="F524" s="2">
        <v>15</v>
      </c>
      <c r="G524">
        <v>1021.5</v>
      </c>
      <c r="H524" s="2">
        <v>9193.5</v>
      </c>
      <c r="I524" s="2">
        <v>2383.5</v>
      </c>
      <c r="J524" s="3">
        <v>44335</v>
      </c>
      <c r="K524" t="s">
        <v>104</v>
      </c>
      <c r="L524" t="s">
        <v>68</v>
      </c>
      <c r="M524">
        <v>2022</v>
      </c>
      <c r="N524" t="s">
        <v>245</v>
      </c>
      <c r="O524" t="s">
        <v>53</v>
      </c>
      <c r="P524" t="s">
        <v>60</v>
      </c>
    </row>
    <row r="525" spans="1:16" x14ac:dyDescent="0.3">
      <c r="A525" t="s">
        <v>25</v>
      </c>
      <c r="B525" t="s">
        <v>244</v>
      </c>
      <c r="C525" t="s">
        <v>51</v>
      </c>
      <c r="D525" t="s">
        <v>223</v>
      </c>
      <c r="E525" s="2">
        <v>510</v>
      </c>
      <c r="F525" s="2">
        <v>15</v>
      </c>
      <c r="G525">
        <v>765</v>
      </c>
      <c r="H525" s="2">
        <v>6885</v>
      </c>
      <c r="I525" s="2">
        <v>1785</v>
      </c>
      <c r="J525" s="3">
        <v>44597</v>
      </c>
      <c r="K525" t="s">
        <v>57</v>
      </c>
      <c r="L525" t="s">
        <v>29</v>
      </c>
      <c r="M525">
        <v>2022</v>
      </c>
      <c r="N525" t="s">
        <v>245</v>
      </c>
      <c r="O525" t="s">
        <v>53</v>
      </c>
      <c r="P525" t="s">
        <v>60</v>
      </c>
    </row>
    <row r="526" spans="1:16" x14ac:dyDescent="0.3">
      <c r="A526" t="s">
        <v>25</v>
      </c>
      <c r="B526" t="s">
        <v>289</v>
      </c>
      <c r="C526" t="s">
        <v>51</v>
      </c>
      <c r="D526" t="s">
        <v>223</v>
      </c>
      <c r="E526" s="2">
        <v>790</v>
      </c>
      <c r="F526" s="2">
        <v>15</v>
      </c>
      <c r="G526">
        <v>1185</v>
      </c>
      <c r="H526" s="2">
        <v>10665</v>
      </c>
      <c r="I526" s="2">
        <v>2765</v>
      </c>
      <c r="J526" s="3">
        <v>44537</v>
      </c>
      <c r="K526" t="s">
        <v>75</v>
      </c>
      <c r="L526" t="s">
        <v>72</v>
      </c>
      <c r="M526">
        <v>2022</v>
      </c>
      <c r="N526" t="s">
        <v>161</v>
      </c>
      <c r="O526" t="s">
        <v>53</v>
      </c>
      <c r="P526" t="s">
        <v>54</v>
      </c>
    </row>
    <row r="527" spans="1:16" x14ac:dyDescent="0.3">
      <c r="A527" t="s">
        <v>37</v>
      </c>
      <c r="B527" t="s">
        <v>166</v>
      </c>
      <c r="C527" t="s">
        <v>51</v>
      </c>
      <c r="D527" t="s">
        <v>223</v>
      </c>
      <c r="E527" s="2">
        <v>639</v>
      </c>
      <c r="F527" s="2">
        <v>350</v>
      </c>
      <c r="G527">
        <v>22365</v>
      </c>
      <c r="H527" s="2">
        <v>201285</v>
      </c>
      <c r="I527" s="2">
        <v>35145</v>
      </c>
      <c r="J527" s="3">
        <v>44361</v>
      </c>
      <c r="K527" t="s">
        <v>146</v>
      </c>
      <c r="L527" t="s">
        <v>68</v>
      </c>
      <c r="M527">
        <v>2022</v>
      </c>
      <c r="N527" t="s">
        <v>167</v>
      </c>
      <c r="O527" t="s">
        <v>53</v>
      </c>
      <c r="P527" t="s">
        <v>49</v>
      </c>
    </row>
    <row r="528" spans="1:16" x14ac:dyDescent="0.3">
      <c r="A528" t="s">
        <v>16</v>
      </c>
      <c r="B528" t="s">
        <v>81</v>
      </c>
      <c r="C528" t="s">
        <v>51</v>
      </c>
      <c r="D528" t="s">
        <v>223</v>
      </c>
      <c r="E528" s="2">
        <v>1596</v>
      </c>
      <c r="F528" s="2">
        <v>125</v>
      </c>
      <c r="G528">
        <v>19950</v>
      </c>
      <c r="H528" s="2">
        <v>179550</v>
      </c>
      <c r="I528" s="2">
        <v>-11970</v>
      </c>
      <c r="J528" s="3">
        <v>44691</v>
      </c>
      <c r="K528" t="s">
        <v>104</v>
      </c>
      <c r="L528" t="s">
        <v>68</v>
      </c>
      <c r="M528">
        <v>2022</v>
      </c>
      <c r="N528" t="s">
        <v>83</v>
      </c>
      <c r="O528" t="s">
        <v>53</v>
      </c>
      <c r="P528" t="s">
        <v>54</v>
      </c>
    </row>
    <row r="529" spans="1:16" x14ac:dyDescent="0.3">
      <c r="A529" t="s">
        <v>37</v>
      </c>
      <c r="B529" t="s">
        <v>112</v>
      </c>
      <c r="C529" t="s">
        <v>51</v>
      </c>
      <c r="D529" t="s">
        <v>223</v>
      </c>
      <c r="E529" s="2">
        <v>241</v>
      </c>
      <c r="F529" s="2">
        <v>20</v>
      </c>
      <c r="G529">
        <v>482</v>
      </c>
      <c r="H529" s="2">
        <v>4338</v>
      </c>
      <c r="I529" s="2">
        <v>1928</v>
      </c>
      <c r="J529" s="3">
        <v>44733</v>
      </c>
      <c r="K529" t="s">
        <v>146</v>
      </c>
      <c r="L529" t="s">
        <v>68</v>
      </c>
      <c r="M529">
        <v>2022</v>
      </c>
      <c r="N529" t="s">
        <v>113</v>
      </c>
      <c r="O529" t="s">
        <v>53</v>
      </c>
      <c r="P529" t="s">
        <v>41</v>
      </c>
    </row>
    <row r="530" spans="1:16" x14ac:dyDescent="0.3">
      <c r="A530" t="s">
        <v>37</v>
      </c>
      <c r="B530" t="s">
        <v>112</v>
      </c>
      <c r="C530" t="s">
        <v>51</v>
      </c>
      <c r="D530" t="s">
        <v>223</v>
      </c>
      <c r="E530" s="2">
        <v>2665</v>
      </c>
      <c r="F530" s="2">
        <v>7</v>
      </c>
      <c r="G530">
        <v>1865.5</v>
      </c>
      <c r="H530" s="2">
        <v>16789.5</v>
      </c>
      <c r="I530" s="2">
        <v>3464.5</v>
      </c>
      <c r="J530" s="3">
        <v>44841</v>
      </c>
      <c r="K530" t="s">
        <v>85</v>
      </c>
      <c r="L530" t="s">
        <v>72</v>
      </c>
      <c r="M530">
        <v>2022</v>
      </c>
      <c r="N530" t="s">
        <v>113</v>
      </c>
      <c r="O530" t="s">
        <v>53</v>
      </c>
      <c r="P530" t="s">
        <v>41</v>
      </c>
    </row>
    <row r="531" spans="1:16" x14ac:dyDescent="0.3">
      <c r="A531" t="s">
        <v>33</v>
      </c>
      <c r="B531" t="s">
        <v>179</v>
      </c>
      <c r="C531" t="s">
        <v>51</v>
      </c>
      <c r="D531" t="s">
        <v>223</v>
      </c>
      <c r="E531" s="2">
        <v>853</v>
      </c>
      <c r="F531" s="2">
        <v>300</v>
      </c>
      <c r="G531">
        <v>25590</v>
      </c>
      <c r="H531" s="2">
        <v>230310</v>
      </c>
      <c r="I531" s="2">
        <v>17060</v>
      </c>
      <c r="J531" s="3">
        <v>44578</v>
      </c>
      <c r="K531" t="s">
        <v>28</v>
      </c>
      <c r="L531" t="s">
        <v>29</v>
      </c>
      <c r="M531">
        <v>2022</v>
      </c>
      <c r="N531" t="s">
        <v>180</v>
      </c>
      <c r="O531" t="s">
        <v>53</v>
      </c>
      <c r="P531" t="s">
        <v>46</v>
      </c>
    </row>
    <row r="532" spans="1:16" x14ac:dyDescent="0.3">
      <c r="A532" t="s">
        <v>16</v>
      </c>
      <c r="B532" t="s">
        <v>279</v>
      </c>
      <c r="C532" t="s">
        <v>56</v>
      </c>
      <c r="D532" t="s">
        <v>223</v>
      </c>
      <c r="E532" s="2">
        <v>341</v>
      </c>
      <c r="F532" s="2">
        <v>125</v>
      </c>
      <c r="G532">
        <v>4262.5</v>
      </c>
      <c r="H532" s="2">
        <v>38362.5</v>
      </c>
      <c r="I532" s="2">
        <v>-2557.5</v>
      </c>
      <c r="J532" s="3">
        <v>44591</v>
      </c>
      <c r="K532" t="s">
        <v>28</v>
      </c>
      <c r="L532" t="s">
        <v>29</v>
      </c>
      <c r="M532">
        <v>2022</v>
      </c>
      <c r="N532" t="s">
        <v>165</v>
      </c>
      <c r="O532" t="s">
        <v>59</v>
      </c>
      <c r="P532" t="s">
        <v>46</v>
      </c>
    </row>
    <row r="533" spans="1:16" x14ac:dyDescent="0.3">
      <c r="A533" t="s">
        <v>25</v>
      </c>
      <c r="B533" t="s">
        <v>147</v>
      </c>
      <c r="C533" t="s">
        <v>56</v>
      </c>
      <c r="D533" t="s">
        <v>223</v>
      </c>
      <c r="E533" s="2">
        <v>641</v>
      </c>
      <c r="F533" s="2">
        <v>15</v>
      </c>
      <c r="G533">
        <v>961.5</v>
      </c>
      <c r="H533" s="2">
        <v>8653.5</v>
      </c>
      <c r="I533" s="2">
        <v>2243.5</v>
      </c>
      <c r="J533" s="3">
        <v>44438</v>
      </c>
      <c r="K533" t="s">
        <v>39</v>
      </c>
      <c r="L533" t="s">
        <v>21</v>
      </c>
      <c r="M533">
        <v>2022</v>
      </c>
      <c r="N533" t="s">
        <v>148</v>
      </c>
      <c r="O533" t="s">
        <v>59</v>
      </c>
      <c r="P533" t="s">
        <v>46</v>
      </c>
    </row>
    <row r="534" spans="1:16" x14ac:dyDescent="0.3">
      <c r="A534" t="s">
        <v>37</v>
      </c>
      <c r="B534" t="s">
        <v>122</v>
      </c>
      <c r="C534" t="s">
        <v>56</v>
      </c>
      <c r="D534" t="s">
        <v>223</v>
      </c>
      <c r="E534" s="2">
        <v>2807</v>
      </c>
      <c r="F534" s="2">
        <v>350</v>
      </c>
      <c r="G534">
        <v>98245</v>
      </c>
      <c r="H534" s="2">
        <v>884205</v>
      </c>
      <c r="I534" s="2">
        <v>154385</v>
      </c>
      <c r="J534" s="3">
        <v>44443</v>
      </c>
      <c r="K534" t="s">
        <v>20</v>
      </c>
      <c r="L534" t="s">
        <v>21</v>
      </c>
      <c r="M534">
        <v>2022</v>
      </c>
      <c r="N534" t="s">
        <v>123</v>
      </c>
      <c r="O534" t="s">
        <v>59</v>
      </c>
      <c r="P534" t="s">
        <v>24</v>
      </c>
    </row>
    <row r="535" spans="1:16" x14ac:dyDescent="0.3">
      <c r="A535" t="s">
        <v>33</v>
      </c>
      <c r="B535" t="s">
        <v>87</v>
      </c>
      <c r="C535" t="s">
        <v>56</v>
      </c>
      <c r="D535" t="s">
        <v>223</v>
      </c>
      <c r="E535" s="2">
        <v>432</v>
      </c>
      <c r="F535" s="2">
        <v>300</v>
      </c>
      <c r="G535">
        <v>12960</v>
      </c>
      <c r="H535" s="2">
        <v>116640</v>
      </c>
      <c r="I535" s="2">
        <v>8640</v>
      </c>
      <c r="J535" s="3">
        <v>44581</v>
      </c>
      <c r="K535" t="s">
        <v>28</v>
      </c>
      <c r="L535" t="s">
        <v>29</v>
      </c>
      <c r="M535">
        <v>2022</v>
      </c>
      <c r="N535" t="s">
        <v>88</v>
      </c>
      <c r="O535" t="s">
        <v>59</v>
      </c>
      <c r="P535" t="s">
        <v>24</v>
      </c>
    </row>
    <row r="536" spans="1:16" x14ac:dyDescent="0.3">
      <c r="A536" t="s">
        <v>16</v>
      </c>
      <c r="B536" t="s">
        <v>258</v>
      </c>
      <c r="C536" t="s">
        <v>56</v>
      </c>
      <c r="D536" t="s">
        <v>223</v>
      </c>
      <c r="E536" s="2">
        <v>2529</v>
      </c>
      <c r="F536" s="2">
        <v>125</v>
      </c>
      <c r="G536">
        <v>31612.5</v>
      </c>
      <c r="H536" s="2">
        <v>284512.5</v>
      </c>
      <c r="I536" s="2">
        <v>-18967.5</v>
      </c>
      <c r="J536" s="3">
        <v>44426</v>
      </c>
      <c r="K536" t="s">
        <v>39</v>
      </c>
      <c r="L536" t="s">
        <v>21</v>
      </c>
      <c r="M536">
        <v>2022</v>
      </c>
      <c r="N536" t="s">
        <v>135</v>
      </c>
      <c r="O536" t="s">
        <v>59</v>
      </c>
      <c r="P536" t="s">
        <v>24</v>
      </c>
    </row>
    <row r="537" spans="1:16" x14ac:dyDescent="0.3">
      <c r="A537" t="s">
        <v>16</v>
      </c>
      <c r="B537" t="s">
        <v>302</v>
      </c>
      <c r="C537" t="s">
        <v>90</v>
      </c>
      <c r="D537" t="s">
        <v>223</v>
      </c>
      <c r="E537" s="2">
        <v>579</v>
      </c>
      <c r="F537" s="2">
        <v>125</v>
      </c>
      <c r="G537">
        <v>7237.5</v>
      </c>
      <c r="H537" s="2">
        <v>65137.5</v>
      </c>
      <c r="I537" s="2">
        <v>-4342.5</v>
      </c>
      <c r="J537" s="3">
        <v>44903</v>
      </c>
      <c r="K537" t="s">
        <v>75</v>
      </c>
      <c r="L537" t="s">
        <v>72</v>
      </c>
      <c r="M537">
        <v>2022</v>
      </c>
      <c r="N537" t="s">
        <v>209</v>
      </c>
      <c r="O537" t="s">
        <v>92</v>
      </c>
      <c r="P537" t="s">
        <v>41</v>
      </c>
    </row>
    <row r="538" spans="1:16" x14ac:dyDescent="0.3">
      <c r="A538" t="s">
        <v>37</v>
      </c>
      <c r="B538" t="s">
        <v>151</v>
      </c>
      <c r="C538" t="s">
        <v>90</v>
      </c>
      <c r="D538" t="s">
        <v>223</v>
      </c>
      <c r="E538" s="2">
        <v>2240</v>
      </c>
      <c r="F538" s="2">
        <v>350</v>
      </c>
      <c r="G538">
        <v>78400</v>
      </c>
      <c r="H538" s="2">
        <v>705600</v>
      </c>
      <c r="I538" s="2">
        <v>123200</v>
      </c>
      <c r="J538" s="3">
        <v>44878</v>
      </c>
      <c r="K538" t="s">
        <v>71</v>
      </c>
      <c r="L538" t="s">
        <v>72</v>
      </c>
      <c r="M538">
        <v>2022</v>
      </c>
      <c r="N538" t="s">
        <v>152</v>
      </c>
      <c r="O538" t="s">
        <v>92</v>
      </c>
      <c r="P538" t="s">
        <v>54</v>
      </c>
    </row>
    <row r="539" spans="1:16" x14ac:dyDescent="0.3">
      <c r="A539" t="s">
        <v>33</v>
      </c>
      <c r="B539" t="s">
        <v>298</v>
      </c>
      <c r="C539" t="s">
        <v>90</v>
      </c>
      <c r="D539" t="s">
        <v>223</v>
      </c>
      <c r="E539" s="2">
        <v>2993</v>
      </c>
      <c r="F539" s="2">
        <v>300</v>
      </c>
      <c r="G539">
        <v>89790</v>
      </c>
      <c r="H539" s="2">
        <v>808110</v>
      </c>
      <c r="I539" s="2">
        <v>59860</v>
      </c>
      <c r="J539" s="3">
        <v>44782</v>
      </c>
      <c r="K539" t="s">
        <v>39</v>
      </c>
      <c r="L539" t="s">
        <v>21</v>
      </c>
      <c r="M539">
        <v>2022</v>
      </c>
      <c r="N539" t="s">
        <v>201</v>
      </c>
      <c r="O539" t="s">
        <v>92</v>
      </c>
      <c r="P539" t="s">
        <v>60</v>
      </c>
    </row>
    <row r="540" spans="1:16" x14ac:dyDescent="0.3">
      <c r="A540" t="s">
        <v>42</v>
      </c>
      <c r="B540" t="s">
        <v>242</v>
      </c>
      <c r="C540" t="s">
        <v>90</v>
      </c>
      <c r="D540" t="s">
        <v>223</v>
      </c>
      <c r="E540" s="2">
        <v>3520.5</v>
      </c>
      <c r="F540" s="2">
        <v>12</v>
      </c>
      <c r="G540">
        <v>4224.6000000000004</v>
      </c>
      <c r="H540" s="2">
        <v>38021.399999999994</v>
      </c>
      <c r="I540" s="2">
        <v>27459.899999999998</v>
      </c>
      <c r="J540" s="3">
        <v>44526</v>
      </c>
      <c r="K540" t="s">
        <v>71</v>
      </c>
      <c r="L540" t="s">
        <v>72</v>
      </c>
      <c r="M540">
        <v>2022</v>
      </c>
      <c r="N540" t="s">
        <v>243</v>
      </c>
      <c r="O540" t="s">
        <v>92</v>
      </c>
      <c r="P540" t="s">
        <v>54</v>
      </c>
    </row>
    <row r="541" spans="1:16" x14ac:dyDescent="0.3">
      <c r="A541" t="s">
        <v>37</v>
      </c>
      <c r="B541" t="s">
        <v>239</v>
      </c>
      <c r="C541" t="s">
        <v>90</v>
      </c>
      <c r="D541" t="s">
        <v>223</v>
      </c>
      <c r="E541" s="2">
        <v>2039</v>
      </c>
      <c r="F541" s="2">
        <v>20</v>
      </c>
      <c r="G541">
        <v>4078</v>
      </c>
      <c r="H541" s="2">
        <v>36702</v>
      </c>
      <c r="I541" s="2">
        <v>16312</v>
      </c>
      <c r="J541" s="3">
        <v>44304</v>
      </c>
      <c r="K541" t="s">
        <v>67</v>
      </c>
      <c r="L541" t="s">
        <v>68</v>
      </c>
      <c r="M541">
        <v>2022</v>
      </c>
      <c r="N541" t="s">
        <v>173</v>
      </c>
      <c r="O541" t="s">
        <v>92</v>
      </c>
      <c r="P541" t="s">
        <v>46</v>
      </c>
    </row>
    <row r="542" spans="1:16" x14ac:dyDescent="0.3">
      <c r="A542" t="s">
        <v>42</v>
      </c>
      <c r="B542" t="s">
        <v>248</v>
      </c>
      <c r="C542" t="s">
        <v>90</v>
      </c>
      <c r="D542" t="s">
        <v>223</v>
      </c>
      <c r="E542" s="2">
        <v>2574</v>
      </c>
      <c r="F542" s="2">
        <v>12</v>
      </c>
      <c r="G542">
        <v>3088.8</v>
      </c>
      <c r="H542" s="2">
        <v>27799.200000000001</v>
      </c>
      <c r="I542" s="2">
        <v>20077.2</v>
      </c>
      <c r="J542" s="3">
        <v>44683</v>
      </c>
      <c r="K542" t="s">
        <v>104</v>
      </c>
      <c r="L542" t="s">
        <v>68</v>
      </c>
      <c r="M542">
        <v>2022</v>
      </c>
      <c r="N542" t="s">
        <v>205</v>
      </c>
      <c r="O542" t="s">
        <v>92</v>
      </c>
      <c r="P542" t="s">
        <v>32</v>
      </c>
    </row>
    <row r="543" spans="1:16" x14ac:dyDescent="0.3">
      <c r="A543" t="s">
        <v>37</v>
      </c>
      <c r="B543" t="s">
        <v>151</v>
      </c>
      <c r="C543" t="s">
        <v>90</v>
      </c>
      <c r="D543" t="s">
        <v>223</v>
      </c>
      <c r="E543" s="2">
        <v>707</v>
      </c>
      <c r="F543" s="2">
        <v>350</v>
      </c>
      <c r="G543">
        <v>24745</v>
      </c>
      <c r="H543" s="2">
        <v>222705</v>
      </c>
      <c r="I543" s="2">
        <v>38885</v>
      </c>
      <c r="J543" s="3">
        <v>44577</v>
      </c>
      <c r="K543" t="s">
        <v>28</v>
      </c>
      <c r="L543" t="s">
        <v>29</v>
      </c>
      <c r="M543">
        <v>2022</v>
      </c>
      <c r="N543" t="s">
        <v>152</v>
      </c>
      <c r="O543" t="s">
        <v>92</v>
      </c>
      <c r="P543" t="s">
        <v>54</v>
      </c>
    </row>
    <row r="544" spans="1:16" x14ac:dyDescent="0.3">
      <c r="A544" t="s">
        <v>25</v>
      </c>
      <c r="B544" t="s">
        <v>93</v>
      </c>
      <c r="C544" t="s">
        <v>90</v>
      </c>
      <c r="D544" t="s">
        <v>223</v>
      </c>
      <c r="E544" s="2">
        <v>2072</v>
      </c>
      <c r="F544" s="2">
        <v>15</v>
      </c>
      <c r="G544">
        <v>3108</v>
      </c>
      <c r="H544" s="2">
        <v>27972</v>
      </c>
      <c r="I544" s="2">
        <v>7252</v>
      </c>
      <c r="J544" s="3">
        <v>44524</v>
      </c>
      <c r="K544" t="s">
        <v>71</v>
      </c>
      <c r="L544" t="s">
        <v>72</v>
      </c>
      <c r="M544">
        <v>2022</v>
      </c>
      <c r="N544" t="s">
        <v>94</v>
      </c>
      <c r="O544" t="s">
        <v>92</v>
      </c>
      <c r="P544" t="s">
        <v>36</v>
      </c>
    </row>
    <row r="545" spans="1:16" x14ac:dyDescent="0.3">
      <c r="A545" t="s">
        <v>33</v>
      </c>
      <c r="B545" t="s">
        <v>303</v>
      </c>
      <c r="C545" t="s">
        <v>90</v>
      </c>
      <c r="D545" t="s">
        <v>223</v>
      </c>
      <c r="E545" s="2">
        <v>853</v>
      </c>
      <c r="F545" s="2">
        <v>300</v>
      </c>
      <c r="G545">
        <v>25590</v>
      </c>
      <c r="H545" s="2">
        <v>230310</v>
      </c>
      <c r="I545" s="2">
        <v>17060</v>
      </c>
      <c r="J545" s="3">
        <v>44906</v>
      </c>
      <c r="K545" t="s">
        <v>75</v>
      </c>
      <c r="L545" t="s">
        <v>72</v>
      </c>
      <c r="M545">
        <v>2022</v>
      </c>
      <c r="N545" t="s">
        <v>165</v>
      </c>
      <c r="O545" t="s">
        <v>92</v>
      </c>
      <c r="P545" t="s">
        <v>46</v>
      </c>
    </row>
    <row r="546" spans="1:16" x14ac:dyDescent="0.3">
      <c r="A546" t="s">
        <v>37</v>
      </c>
      <c r="B546" t="s">
        <v>162</v>
      </c>
      <c r="C546" t="s">
        <v>27</v>
      </c>
      <c r="D546" t="s">
        <v>223</v>
      </c>
      <c r="E546" s="2">
        <v>2532</v>
      </c>
      <c r="F546" s="2">
        <v>7</v>
      </c>
      <c r="G546">
        <v>1949.6399999999999</v>
      </c>
      <c r="H546" s="2">
        <v>15774.36</v>
      </c>
      <c r="I546" s="2">
        <v>3114.3599999999997</v>
      </c>
      <c r="J546" s="3">
        <v>44820</v>
      </c>
      <c r="K546" t="s">
        <v>20</v>
      </c>
      <c r="L546" t="s">
        <v>21</v>
      </c>
      <c r="M546">
        <v>2022</v>
      </c>
      <c r="N546" t="s">
        <v>163</v>
      </c>
      <c r="O546" t="s">
        <v>31</v>
      </c>
      <c r="P546" t="s">
        <v>41</v>
      </c>
    </row>
    <row r="547" spans="1:16" x14ac:dyDescent="0.3">
      <c r="A547" t="s">
        <v>25</v>
      </c>
      <c r="B547" t="s">
        <v>294</v>
      </c>
      <c r="C547" t="s">
        <v>51</v>
      </c>
      <c r="D547" t="s">
        <v>223</v>
      </c>
      <c r="E547" s="2">
        <v>384</v>
      </c>
      <c r="F547" s="2">
        <v>15</v>
      </c>
      <c r="G547">
        <v>633.59999999999991</v>
      </c>
      <c r="H547" s="2">
        <v>5126.3999999999996</v>
      </c>
      <c r="I547" s="2">
        <v>1286.3999999999999</v>
      </c>
      <c r="J547" s="3">
        <v>44355</v>
      </c>
      <c r="K547" t="s">
        <v>146</v>
      </c>
      <c r="L547" t="s">
        <v>68</v>
      </c>
      <c r="M547">
        <v>2022</v>
      </c>
      <c r="N547" t="s">
        <v>238</v>
      </c>
      <c r="O547" t="s">
        <v>53</v>
      </c>
      <c r="P547" t="s">
        <v>41</v>
      </c>
    </row>
    <row r="548" spans="1:16" x14ac:dyDescent="0.3">
      <c r="A548" t="s">
        <v>42</v>
      </c>
      <c r="B548" t="s">
        <v>268</v>
      </c>
      <c r="C548" t="s">
        <v>51</v>
      </c>
      <c r="D548" t="s">
        <v>223</v>
      </c>
      <c r="E548" s="2">
        <v>472</v>
      </c>
      <c r="F548" s="2">
        <v>12</v>
      </c>
      <c r="G548">
        <v>623.04</v>
      </c>
      <c r="H548" s="2">
        <v>5040.96</v>
      </c>
      <c r="I548" s="2">
        <v>3624.96</v>
      </c>
      <c r="J548" s="3">
        <v>44528</v>
      </c>
      <c r="K548" t="s">
        <v>71</v>
      </c>
      <c r="L548" t="s">
        <v>72</v>
      </c>
      <c r="M548">
        <v>2022</v>
      </c>
      <c r="N548" t="s">
        <v>234</v>
      </c>
      <c r="O548" t="s">
        <v>53</v>
      </c>
      <c r="P548" t="s">
        <v>32</v>
      </c>
    </row>
    <row r="549" spans="1:16" x14ac:dyDescent="0.3">
      <c r="A549" t="s">
        <v>37</v>
      </c>
      <c r="B549" t="s">
        <v>122</v>
      </c>
      <c r="C549" t="s">
        <v>56</v>
      </c>
      <c r="D549" t="s">
        <v>223</v>
      </c>
      <c r="E549" s="2">
        <v>1579</v>
      </c>
      <c r="F549" s="2">
        <v>7</v>
      </c>
      <c r="G549">
        <v>1215.83</v>
      </c>
      <c r="H549" s="2">
        <v>9837.17</v>
      </c>
      <c r="I549" s="2">
        <v>1942.17</v>
      </c>
      <c r="J549" s="3">
        <v>44598</v>
      </c>
      <c r="K549" t="s">
        <v>57</v>
      </c>
      <c r="L549" t="s">
        <v>29</v>
      </c>
      <c r="M549">
        <v>2022</v>
      </c>
      <c r="N549" t="s">
        <v>123</v>
      </c>
      <c r="O549" t="s">
        <v>59</v>
      </c>
      <c r="P549" t="s">
        <v>24</v>
      </c>
    </row>
    <row r="550" spans="1:16" x14ac:dyDescent="0.3">
      <c r="A550" t="s">
        <v>25</v>
      </c>
      <c r="B550" t="s">
        <v>149</v>
      </c>
      <c r="C550" t="s">
        <v>90</v>
      </c>
      <c r="D550" t="s">
        <v>223</v>
      </c>
      <c r="E550" s="2">
        <v>3199.5</v>
      </c>
      <c r="F550" s="2">
        <v>15</v>
      </c>
      <c r="G550">
        <v>5279.1749999999993</v>
      </c>
      <c r="H550" s="2">
        <v>42713.324999999997</v>
      </c>
      <c r="I550" s="2">
        <v>10718.324999999999</v>
      </c>
      <c r="J550" s="3">
        <v>44301</v>
      </c>
      <c r="K550" t="s">
        <v>67</v>
      </c>
      <c r="L550" t="s">
        <v>68</v>
      </c>
      <c r="M550">
        <v>2022</v>
      </c>
      <c r="N550" t="s">
        <v>150</v>
      </c>
      <c r="O550" t="s">
        <v>92</v>
      </c>
      <c r="P550" t="s">
        <v>49</v>
      </c>
    </row>
    <row r="551" spans="1:16" x14ac:dyDescent="0.3">
      <c r="A551" t="s">
        <v>42</v>
      </c>
      <c r="B551" t="s">
        <v>248</v>
      </c>
      <c r="C551" t="s">
        <v>90</v>
      </c>
      <c r="D551" t="s">
        <v>223</v>
      </c>
      <c r="E551" s="2">
        <v>472</v>
      </c>
      <c r="F551" s="2">
        <v>12</v>
      </c>
      <c r="G551">
        <v>623.04</v>
      </c>
      <c r="H551" s="2">
        <v>5040.96</v>
      </c>
      <c r="I551" s="2">
        <v>3624.96</v>
      </c>
      <c r="J551" s="3">
        <v>44482</v>
      </c>
      <c r="K551" t="s">
        <v>85</v>
      </c>
      <c r="L551" t="s">
        <v>72</v>
      </c>
      <c r="M551">
        <v>2022</v>
      </c>
      <c r="N551" t="s">
        <v>205</v>
      </c>
      <c r="O551" t="s">
        <v>92</v>
      </c>
      <c r="P551" t="s">
        <v>32</v>
      </c>
    </row>
    <row r="552" spans="1:16" x14ac:dyDescent="0.3">
      <c r="A552" t="s">
        <v>42</v>
      </c>
      <c r="B552" t="s">
        <v>128</v>
      </c>
      <c r="C552" t="s">
        <v>62</v>
      </c>
      <c r="D552" t="s">
        <v>223</v>
      </c>
      <c r="E552" s="2">
        <v>1937</v>
      </c>
      <c r="F552" s="2">
        <v>12</v>
      </c>
      <c r="G552">
        <v>2556.84</v>
      </c>
      <c r="H552" s="2">
        <v>20687.16</v>
      </c>
      <c r="I552" s="2">
        <v>14876.16</v>
      </c>
      <c r="J552" s="3">
        <v>44473</v>
      </c>
      <c r="K552" t="s">
        <v>85</v>
      </c>
      <c r="L552" t="s">
        <v>72</v>
      </c>
      <c r="M552">
        <v>2022</v>
      </c>
      <c r="N552" t="s">
        <v>129</v>
      </c>
      <c r="O552" t="s">
        <v>65</v>
      </c>
      <c r="P552" t="s">
        <v>41</v>
      </c>
    </row>
    <row r="553" spans="1:16" x14ac:dyDescent="0.3">
      <c r="A553" t="s">
        <v>37</v>
      </c>
      <c r="B553" t="s">
        <v>154</v>
      </c>
      <c r="C553" t="s">
        <v>62</v>
      </c>
      <c r="D553" t="s">
        <v>223</v>
      </c>
      <c r="E553" s="2">
        <v>792</v>
      </c>
      <c r="F553" s="2">
        <v>350</v>
      </c>
      <c r="G553">
        <v>30492</v>
      </c>
      <c r="H553" s="2">
        <v>246708</v>
      </c>
      <c r="I553" s="2">
        <v>40788</v>
      </c>
      <c r="J553" s="3">
        <v>44339</v>
      </c>
      <c r="K553" t="s">
        <v>104</v>
      </c>
      <c r="L553" t="s">
        <v>68</v>
      </c>
      <c r="M553">
        <v>2022</v>
      </c>
      <c r="N553" t="s">
        <v>155</v>
      </c>
      <c r="O553" t="s">
        <v>65</v>
      </c>
      <c r="P553" t="s">
        <v>60</v>
      </c>
    </row>
    <row r="554" spans="1:16" x14ac:dyDescent="0.3">
      <c r="A554" t="s">
        <v>33</v>
      </c>
      <c r="B554" t="s">
        <v>95</v>
      </c>
      <c r="C554" t="s">
        <v>62</v>
      </c>
      <c r="D554" t="s">
        <v>223</v>
      </c>
      <c r="E554" s="2">
        <v>2811</v>
      </c>
      <c r="F554" s="2">
        <v>300</v>
      </c>
      <c r="G554">
        <v>92763</v>
      </c>
      <c r="H554" s="2">
        <v>750537</v>
      </c>
      <c r="I554" s="2">
        <v>47787</v>
      </c>
      <c r="J554" s="3">
        <v>44804</v>
      </c>
      <c r="K554" t="s">
        <v>39</v>
      </c>
      <c r="L554" t="s">
        <v>21</v>
      </c>
      <c r="M554">
        <v>2022</v>
      </c>
      <c r="N554" t="s">
        <v>96</v>
      </c>
      <c r="O554" t="s">
        <v>65</v>
      </c>
      <c r="P554" t="s">
        <v>41</v>
      </c>
    </row>
    <row r="555" spans="1:16" x14ac:dyDescent="0.3">
      <c r="A555" t="s">
        <v>16</v>
      </c>
      <c r="B555" t="s">
        <v>225</v>
      </c>
      <c r="C555" t="s">
        <v>62</v>
      </c>
      <c r="D555" t="s">
        <v>223</v>
      </c>
      <c r="E555" s="2">
        <v>2441</v>
      </c>
      <c r="F555" s="2">
        <v>125</v>
      </c>
      <c r="G555">
        <v>33563.75</v>
      </c>
      <c r="H555" s="2">
        <v>271561.25</v>
      </c>
      <c r="I555" s="2">
        <v>-21358.75</v>
      </c>
      <c r="J555" s="3">
        <v>44656</v>
      </c>
      <c r="K555" t="s">
        <v>67</v>
      </c>
      <c r="L555" t="s">
        <v>68</v>
      </c>
      <c r="M555">
        <v>2022</v>
      </c>
      <c r="N555" t="s">
        <v>226</v>
      </c>
      <c r="O555" t="s">
        <v>65</v>
      </c>
      <c r="P555" t="s">
        <v>46</v>
      </c>
    </row>
    <row r="556" spans="1:16" x14ac:dyDescent="0.3">
      <c r="A556" t="s">
        <v>37</v>
      </c>
      <c r="B556" t="s">
        <v>130</v>
      </c>
      <c r="C556" t="s">
        <v>18</v>
      </c>
      <c r="D556" t="s">
        <v>223</v>
      </c>
      <c r="E556" s="2">
        <v>766</v>
      </c>
      <c r="F556" s="2">
        <v>350</v>
      </c>
      <c r="G556">
        <v>29491</v>
      </c>
      <c r="H556" s="2">
        <v>238609</v>
      </c>
      <c r="I556" s="2">
        <v>39449</v>
      </c>
      <c r="J556" s="3">
        <v>44665</v>
      </c>
      <c r="K556" t="s">
        <v>67</v>
      </c>
      <c r="L556" t="s">
        <v>68</v>
      </c>
      <c r="M556">
        <v>2022</v>
      </c>
      <c r="N556" t="s">
        <v>131</v>
      </c>
      <c r="O556" t="s">
        <v>23</v>
      </c>
      <c r="P556" t="s">
        <v>46</v>
      </c>
    </row>
    <row r="557" spans="1:16" x14ac:dyDescent="0.3">
      <c r="A557" t="s">
        <v>25</v>
      </c>
      <c r="B557" t="s">
        <v>266</v>
      </c>
      <c r="C557" t="s">
        <v>18</v>
      </c>
      <c r="D557" t="s">
        <v>223</v>
      </c>
      <c r="E557" s="2">
        <v>2157</v>
      </c>
      <c r="F557" s="2">
        <v>15</v>
      </c>
      <c r="G557">
        <v>3559.05</v>
      </c>
      <c r="H557" s="2">
        <v>28795.95</v>
      </c>
      <c r="I557" s="2">
        <v>7225.9500000000007</v>
      </c>
      <c r="J557" s="3">
        <v>44803</v>
      </c>
      <c r="K557" t="s">
        <v>39</v>
      </c>
      <c r="L557" t="s">
        <v>21</v>
      </c>
      <c r="M557">
        <v>2022</v>
      </c>
      <c r="N557" t="s">
        <v>230</v>
      </c>
      <c r="O557" t="s">
        <v>23</v>
      </c>
      <c r="P557" t="s">
        <v>60</v>
      </c>
    </row>
    <row r="558" spans="1:16" x14ac:dyDescent="0.3">
      <c r="A558" t="s">
        <v>33</v>
      </c>
      <c r="B558" t="s">
        <v>196</v>
      </c>
      <c r="C558" t="s">
        <v>27</v>
      </c>
      <c r="D558" t="s">
        <v>223</v>
      </c>
      <c r="E558" s="2">
        <v>873</v>
      </c>
      <c r="F558" s="2">
        <v>300</v>
      </c>
      <c r="G558">
        <v>28809</v>
      </c>
      <c r="H558" s="2">
        <v>233091</v>
      </c>
      <c r="I558" s="2">
        <v>14841</v>
      </c>
      <c r="J558" s="3">
        <v>44561</v>
      </c>
      <c r="K558" t="s">
        <v>75</v>
      </c>
      <c r="L558" t="s">
        <v>72</v>
      </c>
      <c r="M558">
        <v>2022</v>
      </c>
      <c r="N558" t="s">
        <v>197</v>
      </c>
      <c r="O558" t="s">
        <v>31</v>
      </c>
      <c r="P558" t="s">
        <v>49</v>
      </c>
    </row>
    <row r="559" spans="1:16" x14ac:dyDescent="0.3">
      <c r="A559" t="s">
        <v>37</v>
      </c>
      <c r="B559" t="s">
        <v>136</v>
      </c>
      <c r="C559" t="s">
        <v>27</v>
      </c>
      <c r="D559" t="s">
        <v>223</v>
      </c>
      <c r="E559" s="2">
        <v>1122</v>
      </c>
      <c r="F559" s="2">
        <v>20</v>
      </c>
      <c r="G559">
        <v>2468.4</v>
      </c>
      <c r="H559" s="2">
        <v>19971.599999999999</v>
      </c>
      <c r="I559" s="2">
        <v>8751.5999999999985</v>
      </c>
      <c r="J559" s="3">
        <v>44557</v>
      </c>
      <c r="K559" t="s">
        <v>75</v>
      </c>
      <c r="L559" t="s">
        <v>72</v>
      </c>
      <c r="M559">
        <v>2022</v>
      </c>
      <c r="N559" t="s">
        <v>137</v>
      </c>
      <c r="O559" t="s">
        <v>31</v>
      </c>
      <c r="P559" t="s">
        <v>60</v>
      </c>
    </row>
    <row r="560" spans="1:16" x14ac:dyDescent="0.3">
      <c r="A560" t="s">
        <v>37</v>
      </c>
      <c r="B560" t="s">
        <v>38</v>
      </c>
      <c r="C560" t="s">
        <v>27</v>
      </c>
      <c r="D560" t="s">
        <v>223</v>
      </c>
      <c r="E560" s="2">
        <v>2104.5</v>
      </c>
      <c r="F560" s="2">
        <v>350</v>
      </c>
      <c r="G560">
        <v>81023.25</v>
      </c>
      <c r="H560" s="2">
        <v>655551.75</v>
      </c>
      <c r="I560" s="2">
        <v>108381.75</v>
      </c>
      <c r="J560" s="3">
        <v>44533</v>
      </c>
      <c r="K560" t="s">
        <v>75</v>
      </c>
      <c r="L560" t="s">
        <v>72</v>
      </c>
      <c r="M560">
        <v>2022</v>
      </c>
      <c r="N560" t="s">
        <v>40</v>
      </c>
      <c r="O560" t="s">
        <v>31</v>
      </c>
      <c r="P560" t="s">
        <v>41</v>
      </c>
    </row>
    <row r="561" spans="1:16" x14ac:dyDescent="0.3">
      <c r="A561" t="s">
        <v>42</v>
      </c>
      <c r="B561" t="s">
        <v>178</v>
      </c>
      <c r="C561" t="s">
        <v>27</v>
      </c>
      <c r="D561" t="s">
        <v>223</v>
      </c>
      <c r="E561" s="2">
        <v>4026</v>
      </c>
      <c r="F561" s="2">
        <v>12</v>
      </c>
      <c r="G561">
        <v>5314.32</v>
      </c>
      <c r="H561" s="2">
        <v>42997.68</v>
      </c>
      <c r="I561" s="2">
        <v>30919.68</v>
      </c>
      <c r="J561" s="3">
        <v>44671</v>
      </c>
      <c r="K561" t="s">
        <v>67</v>
      </c>
      <c r="L561" t="s">
        <v>68</v>
      </c>
      <c r="M561">
        <v>2022</v>
      </c>
      <c r="N561" t="s">
        <v>141</v>
      </c>
      <c r="O561" t="s">
        <v>31</v>
      </c>
      <c r="P561" t="s">
        <v>41</v>
      </c>
    </row>
    <row r="562" spans="1:16" x14ac:dyDescent="0.3">
      <c r="A562" t="s">
        <v>42</v>
      </c>
      <c r="B562" t="s">
        <v>106</v>
      </c>
      <c r="C562" t="s">
        <v>27</v>
      </c>
      <c r="D562" t="s">
        <v>223</v>
      </c>
      <c r="E562" s="2">
        <v>2425.5</v>
      </c>
      <c r="F562" s="2">
        <v>12</v>
      </c>
      <c r="G562">
        <v>3201.66</v>
      </c>
      <c r="H562" s="2">
        <v>25904.340000000004</v>
      </c>
      <c r="I562" s="2">
        <v>18627.840000000004</v>
      </c>
      <c r="J562" s="3">
        <v>44531</v>
      </c>
      <c r="K562" t="s">
        <v>75</v>
      </c>
      <c r="L562" t="s">
        <v>72</v>
      </c>
      <c r="M562">
        <v>2022</v>
      </c>
      <c r="N562" t="s">
        <v>107</v>
      </c>
      <c r="O562" t="s">
        <v>31</v>
      </c>
      <c r="P562" t="s">
        <v>24</v>
      </c>
    </row>
    <row r="563" spans="1:16" x14ac:dyDescent="0.3">
      <c r="A563" t="s">
        <v>37</v>
      </c>
      <c r="B563" t="s">
        <v>38</v>
      </c>
      <c r="C563" t="s">
        <v>27</v>
      </c>
      <c r="D563" t="s">
        <v>223</v>
      </c>
      <c r="E563" s="2">
        <v>2394</v>
      </c>
      <c r="F563" s="2">
        <v>20</v>
      </c>
      <c r="G563">
        <v>5266.8</v>
      </c>
      <c r="H563" s="2">
        <v>42613.2</v>
      </c>
      <c r="I563" s="2">
        <v>18673.199999999997</v>
      </c>
      <c r="J563" s="3">
        <v>44267</v>
      </c>
      <c r="K563" t="s">
        <v>82</v>
      </c>
      <c r="L563" t="s">
        <v>29</v>
      </c>
      <c r="M563">
        <v>2022</v>
      </c>
      <c r="N563" t="s">
        <v>40</v>
      </c>
      <c r="O563" t="s">
        <v>31</v>
      </c>
      <c r="P563" t="s">
        <v>41</v>
      </c>
    </row>
    <row r="564" spans="1:16" x14ac:dyDescent="0.3">
      <c r="A564" t="s">
        <v>25</v>
      </c>
      <c r="B564" t="s">
        <v>144</v>
      </c>
      <c r="C564" t="s">
        <v>27</v>
      </c>
      <c r="D564" t="s">
        <v>223</v>
      </c>
      <c r="E564" s="2">
        <v>1984</v>
      </c>
      <c r="F564" s="2">
        <v>15</v>
      </c>
      <c r="G564">
        <v>3273.6</v>
      </c>
      <c r="H564" s="2">
        <v>26486.400000000001</v>
      </c>
      <c r="I564" s="2">
        <v>6646.4000000000015</v>
      </c>
      <c r="J564" s="3">
        <v>44889</v>
      </c>
      <c r="K564" t="s">
        <v>71</v>
      </c>
      <c r="L564" t="s">
        <v>72</v>
      </c>
      <c r="M564">
        <v>2022</v>
      </c>
      <c r="N564" t="s">
        <v>145</v>
      </c>
      <c r="O564" t="s">
        <v>31</v>
      </c>
      <c r="P564" t="s">
        <v>41</v>
      </c>
    </row>
    <row r="565" spans="1:16" x14ac:dyDescent="0.3">
      <c r="A565" t="s">
        <v>16</v>
      </c>
      <c r="B565" t="s">
        <v>160</v>
      </c>
      <c r="C565" t="s">
        <v>27</v>
      </c>
      <c r="D565" t="s">
        <v>223</v>
      </c>
      <c r="E565" s="2">
        <v>2441</v>
      </c>
      <c r="F565" s="2">
        <v>125</v>
      </c>
      <c r="G565">
        <v>33563.75</v>
      </c>
      <c r="H565" s="2">
        <v>271561.25</v>
      </c>
      <c r="I565" s="2">
        <v>-21358.75</v>
      </c>
      <c r="J565" s="3">
        <v>44474</v>
      </c>
      <c r="K565" t="s">
        <v>85</v>
      </c>
      <c r="L565" t="s">
        <v>72</v>
      </c>
      <c r="M565">
        <v>2022</v>
      </c>
      <c r="N565" t="s">
        <v>161</v>
      </c>
      <c r="O565" t="s">
        <v>31</v>
      </c>
      <c r="P565" t="s">
        <v>36</v>
      </c>
    </row>
    <row r="566" spans="1:16" x14ac:dyDescent="0.3">
      <c r="A566" t="s">
        <v>33</v>
      </c>
      <c r="B566" t="s">
        <v>196</v>
      </c>
      <c r="C566" t="s">
        <v>27</v>
      </c>
      <c r="D566" t="s">
        <v>223</v>
      </c>
      <c r="E566" s="2">
        <v>1366</v>
      </c>
      <c r="F566" s="2">
        <v>300</v>
      </c>
      <c r="G566">
        <v>45078</v>
      </c>
      <c r="H566" s="2">
        <v>364722</v>
      </c>
      <c r="I566" s="2">
        <v>23222</v>
      </c>
      <c r="J566" s="3">
        <v>44486</v>
      </c>
      <c r="K566" t="s">
        <v>85</v>
      </c>
      <c r="L566" t="s">
        <v>72</v>
      </c>
      <c r="M566">
        <v>2022</v>
      </c>
      <c r="N566" t="s">
        <v>197</v>
      </c>
      <c r="O566" t="s">
        <v>31</v>
      </c>
      <c r="P566" t="s">
        <v>49</v>
      </c>
    </row>
    <row r="567" spans="1:16" x14ac:dyDescent="0.3">
      <c r="A567" t="s">
        <v>37</v>
      </c>
      <c r="B567" t="s">
        <v>84</v>
      </c>
      <c r="C567" t="s">
        <v>51</v>
      </c>
      <c r="D567" t="s">
        <v>223</v>
      </c>
      <c r="E567" s="2">
        <v>1808</v>
      </c>
      <c r="F567" s="2">
        <v>7</v>
      </c>
      <c r="G567">
        <v>1392.16</v>
      </c>
      <c r="H567" s="2">
        <v>11263.84</v>
      </c>
      <c r="I567" s="2">
        <v>2223.84</v>
      </c>
      <c r="J567" s="3">
        <v>44294</v>
      </c>
      <c r="K567" t="s">
        <v>67</v>
      </c>
      <c r="L567" t="s">
        <v>68</v>
      </c>
      <c r="M567">
        <v>2022</v>
      </c>
      <c r="N567" t="s">
        <v>86</v>
      </c>
      <c r="O567" t="s">
        <v>53</v>
      </c>
      <c r="P567" t="s">
        <v>60</v>
      </c>
    </row>
    <row r="568" spans="1:16" x14ac:dyDescent="0.3">
      <c r="A568" t="s">
        <v>42</v>
      </c>
      <c r="B568" t="s">
        <v>216</v>
      </c>
      <c r="C568" t="s">
        <v>56</v>
      </c>
      <c r="D568" t="s">
        <v>223</v>
      </c>
      <c r="E568" s="2">
        <v>1734</v>
      </c>
      <c r="F568" s="2">
        <v>12</v>
      </c>
      <c r="G568">
        <v>2288.88</v>
      </c>
      <c r="H568" s="2">
        <v>18519.12</v>
      </c>
      <c r="I568" s="2">
        <v>13317.119999999999</v>
      </c>
      <c r="J568" s="3">
        <v>44472</v>
      </c>
      <c r="K568" t="s">
        <v>85</v>
      </c>
      <c r="L568" t="s">
        <v>72</v>
      </c>
      <c r="M568">
        <v>2022</v>
      </c>
      <c r="N568" t="s">
        <v>217</v>
      </c>
      <c r="O568" t="s">
        <v>59</v>
      </c>
      <c r="P568" t="s">
        <v>24</v>
      </c>
    </row>
    <row r="569" spans="1:16" x14ac:dyDescent="0.3">
      <c r="A569" t="s">
        <v>16</v>
      </c>
      <c r="B569" t="s">
        <v>279</v>
      </c>
      <c r="C569" t="s">
        <v>56</v>
      </c>
      <c r="D569" t="s">
        <v>223</v>
      </c>
      <c r="E569" s="2">
        <v>554</v>
      </c>
      <c r="F569" s="2">
        <v>125</v>
      </c>
      <c r="G569">
        <v>7617.5</v>
      </c>
      <c r="H569" s="2">
        <v>61632.5</v>
      </c>
      <c r="I569" s="2">
        <v>-4847.5</v>
      </c>
      <c r="J569" s="3">
        <v>44351</v>
      </c>
      <c r="K569" t="s">
        <v>146</v>
      </c>
      <c r="L569" t="s">
        <v>68</v>
      </c>
      <c r="M569">
        <v>2022</v>
      </c>
      <c r="N569" t="s">
        <v>165</v>
      </c>
      <c r="O569" t="s">
        <v>59</v>
      </c>
      <c r="P569" t="s">
        <v>46</v>
      </c>
    </row>
    <row r="570" spans="1:16" x14ac:dyDescent="0.3">
      <c r="A570" t="s">
        <v>16</v>
      </c>
      <c r="B570" t="s">
        <v>202</v>
      </c>
      <c r="C570" t="s">
        <v>90</v>
      </c>
      <c r="D570" t="s">
        <v>223</v>
      </c>
      <c r="E570" s="2">
        <v>3165</v>
      </c>
      <c r="F570" s="2">
        <v>125</v>
      </c>
      <c r="G570">
        <v>43518.75</v>
      </c>
      <c r="H570" s="2">
        <v>352106.25</v>
      </c>
      <c r="I570" s="2">
        <v>-27693.75</v>
      </c>
      <c r="J570" s="3">
        <v>44507</v>
      </c>
      <c r="K570" t="s">
        <v>71</v>
      </c>
      <c r="L570" t="s">
        <v>72</v>
      </c>
      <c r="M570">
        <v>2022</v>
      </c>
      <c r="N570" t="s">
        <v>203</v>
      </c>
      <c r="O570" t="s">
        <v>92</v>
      </c>
      <c r="P570" t="s">
        <v>24</v>
      </c>
    </row>
    <row r="571" spans="1:16" x14ac:dyDescent="0.3">
      <c r="A571" t="s">
        <v>37</v>
      </c>
      <c r="B571" t="s">
        <v>239</v>
      </c>
      <c r="C571" t="s">
        <v>90</v>
      </c>
      <c r="D571" t="s">
        <v>223</v>
      </c>
      <c r="E571" s="2">
        <v>2629</v>
      </c>
      <c r="F571" s="2">
        <v>20</v>
      </c>
      <c r="G571">
        <v>5783.8</v>
      </c>
      <c r="H571" s="2">
        <v>46796.2</v>
      </c>
      <c r="I571" s="2">
        <v>20506.199999999997</v>
      </c>
      <c r="J571" s="3">
        <v>44677</v>
      </c>
      <c r="K571" t="s">
        <v>67</v>
      </c>
      <c r="L571" t="s">
        <v>68</v>
      </c>
      <c r="M571">
        <v>2022</v>
      </c>
      <c r="N571" t="s">
        <v>173</v>
      </c>
      <c r="O571" t="s">
        <v>92</v>
      </c>
      <c r="P571" t="s">
        <v>46</v>
      </c>
    </row>
    <row r="572" spans="1:16" x14ac:dyDescent="0.3">
      <c r="A572" t="s">
        <v>16</v>
      </c>
      <c r="B572" t="s">
        <v>292</v>
      </c>
      <c r="C572" t="s">
        <v>90</v>
      </c>
      <c r="D572" t="s">
        <v>223</v>
      </c>
      <c r="E572" s="2">
        <v>1433</v>
      </c>
      <c r="F572" s="2">
        <v>125</v>
      </c>
      <c r="G572">
        <v>19703.75</v>
      </c>
      <c r="H572" s="2">
        <v>159421.25</v>
      </c>
      <c r="I572" s="2">
        <v>-12538.75</v>
      </c>
      <c r="J572" s="3">
        <v>44398</v>
      </c>
      <c r="K572" t="s">
        <v>44</v>
      </c>
      <c r="L572" t="s">
        <v>21</v>
      </c>
      <c r="M572">
        <v>2022</v>
      </c>
      <c r="N572" t="s">
        <v>234</v>
      </c>
      <c r="O572" t="s">
        <v>92</v>
      </c>
      <c r="P572" t="s">
        <v>32</v>
      </c>
    </row>
    <row r="573" spans="1:16" x14ac:dyDescent="0.3">
      <c r="A573" t="s">
        <v>25</v>
      </c>
      <c r="B573" t="s">
        <v>256</v>
      </c>
      <c r="C573" t="s">
        <v>90</v>
      </c>
      <c r="D573" t="s">
        <v>223</v>
      </c>
      <c r="E573" s="2">
        <v>2157</v>
      </c>
      <c r="F573" s="2">
        <v>15</v>
      </c>
      <c r="G573">
        <v>3559.05</v>
      </c>
      <c r="H573" s="2">
        <v>28795.95</v>
      </c>
      <c r="I573" s="2">
        <v>7225.9500000000007</v>
      </c>
      <c r="J573" s="3">
        <v>44496</v>
      </c>
      <c r="K573" t="s">
        <v>85</v>
      </c>
      <c r="L573" t="s">
        <v>72</v>
      </c>
      <c r="M573">
        <v>2022</v>
      </c>
      <c r="N573" t="s">
        <v>257</v>
      </c>
      <c r="O573" t="s">
        <v>92</v>
      </c>
      <c r="P573" t="s">
        <v>60</v>
      </c>
    </row>
    <row r="574" spans="1:16" x14ac:dyDescent="0.3">
      <c r="A574" t="s">
        <v>37</v>
      </c>
      <c r="B574" t="s">
        <v>189</v>
      </c>
      <c r="C574" t="s">
        <v>62</v>
      </c>
      <c r="D574" t="s">
        <v>223</v>
      </c>
      <c r="E574" s="2">
        <v>886</v>
      </c>
      <c r="F574" s="2">
        <v>350</v>
      </c>
      <c r="G574">
        <v>37212</v>
      </c>
      <c r="H574" s="2">
        <v>272888</v>
      </c>
      <c r="I574" s="2">
        <v>42528</v>
      </c>
      <c r="J574" s="3">
        <v>44902</v>
      </c>
      <c r="K574" t="s">
        <v>75</v>
      </c>
      <c r="L574" t="s">
        <v>72</v>
      </c>
      <c r="M574">
        <v>2022</v>
      </c>
      <c r="N574" t="s">
        <v>190</v>
      </c>
      <c r="O574" t="s">
        <v>65</v>
      </c>
      <c r="P574" t="s">
        <v>32</v>
      </c>
    </row>
    <row r="575" spans="1:16" x14ac:dyDescent="0.3">
      <c r="A575" t="s">
        <v>16</v>
      </c>
      <c r="B575" t="s">
        <v>250</v>
      </c>
      <c r="C575" t="s">
        <v>62</v>
      </c>
      <c r="D575" t="s">
        <v>223</v>
      </c>
      <c r="E575" s="2">
        <v>2156</v>
      </c>
      <c r="F575" s="2">
        <v>125</v>
      </c>
      <c r="G575">
        <v>32340</v>
      </c>
      <c r="H575" s="2">
        <v>237160</v>
      </c>
      <c r="I575" s="2">
        <v>-21560</v>
      </c>
      <c r="J575" s="3">
        <v>44487</v>
      </c>
      <c r="K575" t="s">
        <v>85</v>
      </c>
      <c r="L575" t="s">
        <v>72</v>
      </c>
      <c r="M575">
        <v>2022</v>
      </c>
      <c r="N575" t="s">
        <v>209</v>
      </c>
      <c r="O575" t="s">
        <v>65</v>
      </c>
      <c r="P575" t="s">
        <v>41</v>
      </c>
    </row>
    <row r="576" spans="1:16" x14ac:dyDescent="0.3">
      <c r="A576" t="s">
        <v>25</v>
      </c>
      <c r="B576" t="s">
        <v>233</v>
      </c>
      <c r="C576" t="s">
        <v>62</v>
      </c>
      <c r="D576" t="s">
        <v>223</v>
      </c>
      <c r="E576" s="2">
        <v>2689</v>
      </c>
      <c r="F576" s="2">
        <v>15</v>
      </c>
      <c r="G576">
        <v>4840.2</v>
      </c>
      <c r="H576" s="2">
        <v>35494.800000000003</v>
      </c>
      <c r="I576" s="2">
        <v>8604.8000000000029</v>
      </c>
      <c r="J576" s="3">
        <v>44363</v>
      </c>
      <c r="K576" t="s">
        <v>146</v>
      </c>
      <c r="L576" t="s">
        <v>68</v>
      </c>
      <c r="M576">
        <v>2022</v>
      </c>
      <c r="N576" t="s">
        <v>234</v>
      </c>
      <c r="O576" t="s">
        <v>65</v>
      </c>
      <c r="P576" t="s">
        <v>32</v>
      </c>
    </row>
    <row r="577" spans="1:16" x14ac:dyDescent="0.3">
      <c r="A577" t="s">
        <v>25</v>
      </c>
      <c r="B577" t="s">
        <v>267</v>
      </c>
      <c r="C577" t="s">
        <v>18</v>
      </c>
      <c r="D577" t="s">
        <v>223</v>
      </c>
      <c r="E577" s="2">
        <v>677</v>
      </c>
      <c r="F577" s="2">
        <v>15</v>
      </c>
      <c r="G577">
        <v>1218.5999999999999</v>
      </c>
      <c r="H577" s="2">
        <v>8936.4</v>
      </c>
      <c r="I577" s="2">
        <v>2166.3999999999996</v>
      </c>
      <c r="J577" s="3">
        <v>44867</v>
      </c>
      <c r="K577" t="s">
        <v>71</v>
      </c>
      <c r="L577" t="s">
        <v>72</v>
      </c>
      <c r="M577">
        <v>2022</v>
      </c>
      <c r="N577" t="s">
        <v>232</v>
      </c>
      <c r="O577" t="s">
        <v>23</v>
      </c>
      <c r="P577" t="s">
        <v>24</v>
      </c>
    </row>
    <row r="578" spans="1:16" x14ac:dyDescent="0.3">
      <c r="A578" t="s">
        <v>33</v>
      </c>
      <c r="B578" t="s">
        <v>212</v>
      </c>
      <c r="C578" t="s">
        <v>18</v>
      </c>
      <c r="D578" t="s">
        <v>223</v>
      </c>
      <c r="E578" s="2">
        <v>1773</v>
      </c>
      <c r="F578" s="2">
        <v>300</v>
      </c>
      <c r="G578">
        <v>63828</v>
      </c>
      <c r="H578" s="2">
        <v>468072</v>
      </c>
      <c r="I578" s="2">
        <v>24822</v>
      </c>
      <c r="J578" s="3">
        <v>44898</v>
      </c>
      <c r="K578" t="s">
        <v>75</v>
      </c>
      <c r="L578" t="s">
        <v>72</v>
      </c>
      <c r="M578">
        <v>2022</v>
      </c>
      <c r="N578" t="s">
        <v>213</v>
      </c>
      <c r="O578" t="s">
        <v>23</v>
      </c>
      <c r="P578" t="s">
        <v>49</v>
      </c>
    </row>
    <row r="579" spans="1:16" x14ac:dyDescent="0.3">
      <c r="A579" t="s">
        <v>37</v>
      </c>
      <c r="B579" t="s">
        <v>156</v>
      </c>
      <c r="C579" t="s">
        <v>18</v>
      </c>
      <c r="D579" t="s">
        <v>223</v>
      </c>
      <c r="E579" s="2">
        <v>2420</v>
      </c>
      <c r="F579" s="2">
        <v>7</v>
      </c>
      <c r="G579">
        <v>2032.8</v>
      </c>
      <c r="H579" s="2">
        <v>14907.2</v>
      </c>
      <c r="I579" s="2">
        <v>2807.2000000000007</v>
      </c>
      <c r="J579" s="3">
        <v>44532</v>
      </c>
      <c r="K579" t="s">
        <v>75</v>
      </c>
      <c r="L579" t="s">
        <v>72</v>
      </c>
      <c r="M579">
        <v>2022</v>
      </c>
      <c r="N579" t="s">
        <v>157</v>
      </c>
      <c r="O579" t="s">
        <v>23</v>
      </c>
      <c r="P579" t="s">
        <v>24</v>
      </c>
    </row>
    <row r="580" spans="1:16" x14ac:dyDescent="0.3">
      <c r="A580" t="s">
        <v>37</v>
      </c>
      <c r="B580" t="s">
        <v>142</v>
      </c>
      <c r="C580" t="s">
        <v>18</v>
      </c>
      <c r="D580" t="s">
        <v>223</v>
      </c>
      <c r="E580" s="2">
        <v>2734</v>
      </c>
      <c r="F580" s="2">
        <v>7</v>
      </c>
      <c r="G580">
        <v>2296.56</v>
      </c>
      <c r="H580" s="2">
        <v>16841.439999999999</v>
      </c>
      <c r="I580" s="2">
        <v>3171.4399999999987</v>
      </c>
      <c r="J580" s="3">
        <v>44688</v>
      </c>
      <c r="K580" t="s">
        <v>104</v>
      </c>
      <c r="L580" t="s">
        <v>68</v>
      </c>
      <c r="M580">
        <v>2022</v>
      </c>
      <c r="N580" t="s">
        <v>143</v>
      </c>
      <c r="O580" t="s">
        <v>23</v>
      </c>
      <c r="P580" t="s">
        <v>36</v>
      </c>
    </row>
    <row r="581" spans="1:16" x14ac:dyDescent="0.3">
      <c r="A581" t="s">
        <v>33</v>
      </c>
      <c r="B581" t="s">
        <v>270</v>
      </c>
      <c r="C581" t="s">
        <v>27</v>
      </c>
      <c r="D581" t="s">
        <v>223</v>
      </c>
      <c r="E581" s="2">
        <v>3495</v>
      </c>
      <c r="F581" s="2">
        <v>300</v>
      </c>
      <c r="G581">
        <v>125820</v>
      </c>
      <c r="H581" s="2">
        <v>922680</v>
      </c>
      <c r="I581" s="2">
        <v>48930</v>
      </c>
      <c r="J581" s="3">
        <v>44807</v>
      </c>
      <c r="K581" t="s">
        <v>20</v>
      </c>
      <c r="L581" t="s">
        <v>21</v>
      </c>
      <c r="M581">
        <v>2022</v>
      </c>
      <c r="N581" t="s">
        <v>238</v>
      </c>
      <c r="O581" t="s">
        <v>31</v>
      </c>
      <c r="P581" t="s">
        <v>41</v>
      </c>
    </row>
    <row r="582" spans="1:16" x14ac:dyDescent="0.3">
      <c r="A582" t="s">
        <v>37</v>
      </c>
      <c r="B582" t="s">
        <v>136</v>
      </c>
      <c r="C582" t="s">
        <v>27</v>
      </c>
      <c r="D582" t="s">
        <v>223</v>
      </c>
      <c r="E582" s="2">
        <v>886</v>
      </c>
      <c r="F582" s="2">
        <v>350</v>
      </c>
      <c r="G582">
        <v>37212</v>
      </c>
      <c r="H582" s="2">
        <v>272888</v>
      </c>
      <c r="I582" s="2">
        <v>42528</v>
      </c>
      <c r="J582" s="3">
        <v>44373</v>
      </c>
      <c r="K582" t="s">
        <v>146</v>
      </c>
      <c r="L582" t="s">
        <v>68</v>
      </c>
      <c r="M582">
        <v>2022</v>
      </c>
      <c r="N582" t="s">
        <v>137</v>
      </c>
      <c r="O582" t="s">
        <v>31</v>
      </c>
      <c r="P582" t="s">
        <v>60</v>
      </c>
    </row>
    <row r="583" spans="1:16" x14ac:dyDescent="0.3">
      <c r="A583" t="s">
        <v>16</v>
      </c>
      <c r="B583" t="s">
        <v>103</v>
      </c>
      <c r="C583" t="s">
        <v>27</v>
      </c>
      <c r="D583" t="s">
        <v>223</v>
      </c>
      <c r="E583" s="2">
        <v>2156</v>
      </c>
      <c r="F583" s="2">
        <v>125</v>
      </c>
      <c r="G583">
        <v>32340</v>
      </c>
      <c r="H583" s="2">
        <v>237160</v>
      </c>
      <c r="I583" s="2">
        <v>-21560</v>
      </c>
      <c r="J583" s="3">
        <v>44371</v>
      </c>
      <c r="K583" t="s">
        <v>146</v>
      </c>
      <c r="L583" t="s">
        <v>68</v>
      </c>
      <c r="M583">
        <v>2022</v>
      </c>
      <c r="N583" t="s">
        <v>105</v>
      </c>
      <c r="O583" t="s">
        <v>31</v>
      </c>
      <c r="P583" t="s">
        <v>60</v>
      </c>
    </row>
    <row r="584" spans="1:16" x14ac:dyDescent="0.3">
      <c r="A584" t="s">
        <v>37</v>
      </c>
      <c r="B584" t="s">
        <v>136</v>
      </c>
      <c r="C584" t="s">
        <v>27</v>
      </c>
      <c r="D584" t="s">
        <v>223</v>
      </c>
      <c r="E584" s="2">
        <v>905</v>
      </c>
      <c r="F584" s="2">
        <v>20</v>
      </c>
      <c r="G584">
        <v>2172</v>
      </c>
      <c r="H584" s="2">
        <v>15928</v>
      </c>
      <c r="I584" s="2">
        <v>6878</v>
      </c>
      <c r="J584" s="3">
        <v>44683</v>
      </c>
      <c r="K584" t="s">
        <v>104</v>
      </c>
      <c r="L584" t="s">
        <v>68</v>
      </c>
      <c r="M584">
        <v>2022</v>
      </c>
      <c r="N584" t="s">
        <v>137</v>
      </c>
      <c r="O584" t="s">
        <v>31</v>
      </c>
      <c r="P584" t="s">
        <v>60</v>
      </c>
    </row>
    <row r="585" spans="1:16" x14ac:dyDescent="0.3">
      <c r="A585" t="s">
        <v>37</v>
      </c>
      <c r="B585" t="s">
        <v>162</v>
      </c>
      <c r="C585" t="s">
        <v>27</v>
      </c>
      <c r="D585" t="s">
        <v>223</v>
      </c>
      <c r="E585" s="2">
        <v>1594</v>
      </c>
      <c r="F585" s="2">
        <v>350</v>
      </c>
      <c r="G585">
        <v>66948</v>
      </c>
      <c r="H585" s="2">
        <v>490952</v>
      </c>
      <c r="I585" s="2">
        <v>76512</v>
      </c>
      <c r="J585" s="3">
        <v>44389</v>
      </c>
      <c r="K585" t="s">
        <v>44</v>
      </c>
      <c r="L585" t="s">
        <v>21</v>
      </c>
      <c r="M585">
        <v>2022</v>
      </c>
      <c r="N585" t="s">
        <v>163</v>
      </c>
      <c r="O585" t="s">
        <v>31</v>
      </c>
      <c r="P585" t="s">
        <v>41</v>
      </c>
    </row>
    <row r="586" spans="1:16" x14ac:dyDescent="0.3">
      <c r="A586" t="s">
        <v>33</v>
      </c>
      <c r="B586" t="s">
        <v>195</v>
      </c>
      <c r="C586" t="s">
        <v>27</v>
      </c>
      <c r="D586" t="s">
        <v>223</v>
      </c>
      <c r="E586" s="2">
        <v>1359</v>
      </c>
      <c r="F586" s="2">
        <v>300</v>
      </c>
      <c r="G586">
        <v>48924</v>
      </c>
      <c r="H586" s="2">
        <v>358776</v>
      </c>
      <c r="I586" s="2">
        <v>19026</v>
      </c>
      <c r="J586" s="3">
        <v>44494</v>
      </c>
      <c r="K586" t="s">
        <v>85</v>
      </c>
      <c r="L586" t="s">
        <v>72</v>
      </c>
      <c r="M586">
        <v>2022</v>
      </c>
      <c r="N586" t="s">
        <v>173</v>
      </c>
      <c r="O586" t="s">
        <v>31</v>
      </c>
      <c r="P586" t="s">
        <v>46</v>
      </c>
    </row>
    <row r="587" spans="1:16" x14ac:dyDescent="0.3">
      <c r="A587" t="s">
        <v>33</v>
      </c>
      <c r="B587" t="s">
        <v>34</v>
      </c>
      <c r="C587" t="s">
        <v>27</v>
      </c>
      <c r="D587" t="s">
        <v>223</v>
      </c>
      <c r="E587" s="2">
        <v>2150</v>
      </c>
      <c r="F587" s="2">
        <v>300</v>
      </c>
      <c r="G587">
        <v>77400</v>
      </c>
      <c r="H587" s="2">
        <v>567600</v>
      </c>
      <c r="I587" s="2">
        <v>30100</v>
      </c>
      <c r="J587" s="3">
        <v>44674</v>
      </c>
      <c r="K587" t="s">
        <v>67</v>
      </c>
      <c r="L587" t="s">
        <v>68</v>
      </c>
      <c r="M587">
        <v>2022</v>
      </c>
      <c r="N587" t="s">
        <v>35</v>
      </c>
      <c r="O587" t="s">
        <v>31</v>
      </c>
      <c r="P587" t="s">
        <v>36</v>
      </c>
    </row>
    <row r="588" spans="1:16" x14ac:dyDescent="0.3">
      <c r="A588" t="s">
        <v>37</v>
      </c>
      <c r="B588" t="s">
        <v>136</v>
      </c>
      <c r="C588" t="s">
        <v>27</v>
      </c>
      <c r="D588" t="s">
        <v>223</v>
      </c>
      <c r="E588" s="2">
        <v>1197</v>
      </c>
      <c r="F588" s="2">
        <v>350</v>
      </c>
      <c r="G588">
        <v>50274</v>
      </c>
      <c r="H588" s="2">
        <v>368676</v>
      </c>
      <c r="I588" s="2">
        <v>57456</v>
      </c>
      <c r="J588" s="3">
        <v>44647</v>
      </c>
      <c r="K588" t="s">
        <v>82</v>
      </c>
      <c r="L588" t="s">
        <v>29</v>
      </c>
      <c r="M588">
        <v>2022</v>
      </c>
      <c r="N588" t="s">
        <v>137</v>
      </c>
      <c r="O588" t="s">
        <v>31</v>
      </c>
      <c r="P588" t="s">
        <v>60</v>
      </c>
    </row>
    <row r="589" spans="1:16" x14ac:dyDescent="0.3">
      <c r="A589" t="s">
        <v>37</v>
      </c>
      <c r="B589" t="s">
        <v>136</v>
      </c>
      <c r="C589" t="s">
        <v>27</v>
      </c>
      <c r="D589" t="s">
        <v>223</v>
      </c>
      <c r="E589" s="2">
        <v>1233</v>
      </c>
      <c r="F589" s="2">
        <v>20</v>
      </c>
      <c r="G589">
        <v>2959.2</v>
      </c>
      <c r="H589" s="2">
        <v>21700.799999999999</v>
      </c>
      <c r="I589" s="2">
        <v>9370.7999999999993</v>
      </c>
      <c r="J589" s="3">
        <v>44764</v>
      </c>
      <c r="K589" t="s">
        <v>44</v>
      </c>
      <c r="L589" t="s">
        <v>21</v>
      </c>
      <c r="M589">
        <v>2022</v>
      </c>
      <c r="N589" t="s">
        <v>137</v>
      </c>
      <c r="O589" t="s">
        <v>31</v>
      </c>
      <c r="P589" t="s">
        <v>60</v>
      </c>
    </row>
    <row r="590" spans="1:16" x14ac:dyDescent="0.3">
      <c r="A590" t="s">
        <v>37</v>
      </c>
      <c r="B590" t="s">
        <v>118</v>
      </c>
      <c r="C590" t="s">
        <v>51</v>
      </c>
      <c r="D590" t="s">
        <v>223</v>
      </c>
      <c r="E590" s="2">
        <v>1395</v>
      </c>
      <c r="F590" s="2">
        <v>350</v>
      </c>
      <c r="G590">
        <v>58590</v>
      </c>
      <c r="H590" s="2">
        <v>429660</v>
      </c>
      <c r="I590" s="2">
        <v>66960</v>
      </c>
      <c r="J590" s="3">
        <v>44598</v>
      </c>
      <c r="K590" t="s">
        <v>57</v>
      </c>
      <c r="L590" t="s">
        <v>29</v>
      </c>
      <c r="M590">
        <v>2022</v>
      </c>
      <c r="N590" t="s">
        <v>119</v>
      </c>
      <c r="O590" t="s">
        <v>53</v>
      </c>
      <c r="P590" t="s">
        <v>54</v>
      </c>
    </row>
    <row r="591" spans="1:16" x14ac:dyDescent="0.3">
      <c r="A591" t="s">
        <v>37</v>
      </c>
      <c r="B591" t="s">
        <v>138</v>
      </c>
      <c r="C591" t="s">
        <v>51</v>
      </c>
      <c r="D591" t="s">
        <v>223</v>
      </c>
      <c r="E591" s="2">
        <v>986</v>
      </c>
      <c r="F591" s="2">
        <v>350</v>
      </c>
      <c r="G591">
        <v>41412</v>
      </c>
      <c r="H591" s="2">
        <v>303688</v>
      </c>
      <c r="I591" s="2">
        <v>47328</v>
      </c>
      <c r="J591" s="3">
        <v>44914</v>
      </c>
      <c r="K591" t="s">
        <v>75</v>
      </c>
      <c r="L591" t="s">
        <v>72</v>
      </c>
      <c r="M591">
        <v>2022</v>
      </c>
      <c r="N591" t="s">
        <v>139</v>
      </c>
      <c r="O591" t="s">
        <v>53</v>
      </c>
      <c r="P591" t="s">
        <v>24</v>
      </c>
    </row>
    <row r="592" spans="1:16" x14ac:dyDescent="0.3">
      <c r="A592" t="s">
        <v>37</v>
      </c>
      <c r="B592" t="s">
        <v>118</v>
      </c>
      <c r="C592" t="s">
        <v>51</v>
      </c>
      <c r="D592" t="s">
        <v>223</v>
      </c>
      <c r="E592" s="2">
        <v>905</v>
      </c>
      <c r="F592" s="2">
        <v>20</v>
      </c>
      <c r="G592">
        <v>2172</v>
      </c>
      <c r="H592" s="2">
        <v>15928</v>
      </c>
      <c r="I592" s="2">
        <v>6878</v>
      </c>
      <c r="J592" s="3">
        <v>44860</v>
      </c>
      <c r="K592" t="s">
        <v>85</v>
      </c>
      <c r="L592" t="s">
        <v>72</v>
      </c>
      <c r="M592">
        <v>2022</v>
      </c>
      <c r="N592" t="s">
        <v>119</v>
      </c>
      <c r="O592" t="s">
        <v>53</v>
      </c>
      <c r="P592" t="s">
        <v>54</v>
      </c>
    </row>
    <row r="593" spans="1:16" x14ac:dyDescent="0.3">
      <c r="A593" t="s">
        <v>42</v>
      </c>
      <c r="B593" t="s">
        <v>296</v>
      </c>
      <c r="C593" t="s">
        <v>56</v>
      </c>
      <c r="D593" t="s">
        <v>223</v>
      </c>
      <c r="E593" s="2">
        <v>2109</v>
      </c>
      <c r="F593" s="2">
        <v>12</v>
      </c>
      <c r="G593">
        <v>3036.96</v>
      </c>
      <c r="H593" s="2">
        <v>22271.040000000001</v>
      </c>
      <c r="I593" s="2">
        <v>15944.04</v>
      </c>
      <c r="J593" s="3">
        <v>44565</v>
      </c>
      <c r="K593" t="s">
        <v>28</v>
      </c>
      <c r="L593" t="s">
        <v>29</v>
      </c>
      <c r="M593">
        <v>2022</v>
      </c>
      <c r="N593" t="s">
        <v>241</v>
      </c>
      <c r="O593" t="s">
        <v>59</v>
      </c>
      <c r="P593" t="s">
        <v>49</v>
      </c>
    </row>
    <row r="594" spans="1:16" x14ac:dyDescent="0.3">
      <c r="A594" t="s">
        <v>25</v>
      </c>
      <c r="B594" t="s">
        <v>228</v>
      </c>
      <c r="C594" t="s">
        <v>56</v>
      </c>
      <c r="D594" t="s">
        <v>223</v>
      </c>
      <c r="E594" s="2">
        <v>3874.5</v>
      </c>
      <c r="F594" s="2">
        <v>15</v>
      </c>
      <c r="G594">
        <v>6974.0999999999995</v>
      </c>
      <c r="H594" s="2">
        <v>51143.399999999994</v>
      </c>
      <c r="I594" s="2">
        <v>12398.399999999998</v>
      </c>
      <c r="J594" s="3">
        <v>44552</v>
      </c>
      <c r="K594" t="s">
        <v>75</v>
      </c>
      <c r="L594" t="s">
        <v>72</v>
      </c>
      <c r="M594">
        <v>2022</v>
      </c>
      <c r="N594" t="s">
        <v>161</v>
      </c>
      <c r="O594" t="s">
        <v>59</v>
      </c>
      <c r="P594" t="s">
        <v>54</v>
      </c>
    </row>
    <row r="595" spans="1:16" x14ac:dyDescent="0.3">
      <c r="A595" t="s">
        <v>37</v>
      </c>
      <c r="B595" t="s">
        <v>122</v>
      </c>
      <c r="C595" t="s">
        <v>56</v>
      </c>
      <c r="D595" t="s">
        <v>223</v>
      </c>
      <c r="E595" s="2">
        <v>986</v>
      </c>
      <c r="F595" s="2">
        <v>350</v>
      </c>
      <c r="G595">
        <v>41412</v>
      </c>
      <c r="H595" s="2">
        <v>303688</v>
      </c>
      <c r="I595" s="2">
        <v>47328</v>
      </c>
      <c r="J595" s="3">
        <v>44568</v>
      </c>
      <c r="K595" t="s">
        <v>28</v>
      </c>
      <c r="L595" t="s">
        <v>29</v>
      </c>
      <c r="M595">
        <v>2022</v>
      </c>
      <c r="N595" t="s">
        <v>123</v>
      </c>
      <c r="O595" t="s">
        <v>59</v>
      </c>
      <c r="P595" t="s">
        <v>24</v>
      </c>
    </row>
    <row r="596" spans="1:16" x14ac:dyDescent="0.3">
      <c r="A596" t="s">
        <v>16</v>
      </c>
      <c r="B596" t="s">
        <v>271</v>
      </c>
      <c r="C596" t="s">
        <v>56</v>
      </c>
      <c r="D596" t="s">
        <v>223</v>
      </c>
      <c r="E596" s="2">
        <v>2387</v>
      </c>
      <c r="F596" s="2">
        <v>125</v>
      </c>
      <c r="G596">
        <v>35805</v>
      </c>
      <c r="H596" s="2">
        <v>262570</v>
      </c>
      <c r="I596" s="2">
        <v>-23870</v>
      </c>
      <c r="J596" s="3">
        <v>44917</v>
      </c>
      <c r="K596" t="s">
        <v>75</v>
      </c>
      <c r="L596" t="s">
        <v>72</v>
      </c>
      <c r="M596">
        <v>2022</v>
      </c>
      <c r="N596" t="s">
        <v>173</v>
      </c>
      <c r="O596" t="s">
        <v>59</v>
      </c>
      <c r="P596" t="s">
        <v>46</v>
      </c>
    </row>
    <row r="597" spans="1:16" x14ac:dyDescent="0.3">
      <c r="A597" t="s">
        <v>37</v>
      </c>
      <c r="B597" t="s">
        <v>124</v>
      </c>
      <c r="C597" t="s">
        <v>56</v>
      </c>
      <c r="D597" t="s">
        <v>223</v>
      </c>
      <c r="E597" s="2">
        <v>1233</v>
      </c>
      <c r="F597" s="2">
        <v>20</v>
      </c>
      <c r="G597">
        <v>2959.2</v>
      </c>
      <c r="H597" s="2">
        <v>21700.799999999999</v>
      </c>
      <c r="I597" s="2">
        <v>9370.7999999999993</v>
      </c>
      <c r="J597" s="3">
        <v>44303</v>
      </c>
      <c r="K597" t="s">
        <v>67</v>
      </c>
      <c r="L597" t="s">
        <v>68</v>
      </c>
      <c r="M597">
        <v>2022</v>
      </c>
      <c r="N597" t="s">
        <v>125</v>
      </c>
      <c r="O597" t="s">
        <v>59</v>
      </c>
      <c r="P597" t="s">
        <v>32</v>
      </c>
    </row>
    <row r="598" spans="1:16" x14ac:dyDescent="0.3">
      <c r="A598" t="s">
        <v>37</v>
      </c>
      <c r="B598" t="s">
        <v>185</v>
      </c>
      <c r="C598" t="s">
        <v>90</v>
      </c>
      <c r="D598" t="s">
        <v>223</v>
      </c>
      <c r="E598" s="2">
        <v>270</v>
      </c>
      <c r="F598" s="2">
        <v>350</v>
      </c>
      <c r="G598">
        <v>11340</v>
      </c>
      <c r="H598" s="2">
        <v>83160</v>
      </c>
      <c r="I598" s="2">
        <v>12960</v>
      </c>
      <c r="J598" s="3">
        <v>44223</v>
      </c>
      <c r="K598" t="s">
        <v>28</v>
      </c>
      <c r="L598" t="s">
        <v>29</v>
      </c>
      <c r="M598">
        <v>2022</v>
      </c>
      <c r="N598" t="s">
        <v>186</v>
      </c>
      <c r="O598" t="s">
        <v>92</v>
      </c>
      <c r="P598" t="s">
        <v>60</v>
      </c>
    </row>
    <row r="599" spans="1:16" x14ac:dyDescent="0.3">
      <c r="A599" t="s">
        <v>37</v>
      </c>
      <c r="B599" t="s">
        <v>187</v>
      </c>
      <c r="C599" t="s">
        <v>90</v>
      </c>
      <c r="D599" t="s">
        <v>223</v>
      </c>
      <c r="E599" s="2">
        <v>3421.5</v>
      </c>
      <c r="F599" s="2">
        <v>7</v>
      </c>
      <c r="G599">
        <v>2874.06</v>
      </c>
      <c r="H599" s="2">
        <v>21076.44</v>
      </c>
      <c r="I599" s="2">
        <v>3968.9399999999987</v>
      </c>
      <c r="J599" s="3">
        <v>44574</v>
      </c>
      <c r="K599" t="s">
        <v>28</v>
      </c>
      <c r="L599" t="s">
        <v>29</v>
      </c>
      <c r="M599">
        <v>2022</v>
      </c>
      <c r="N599" t="s">
        <v>188</v>
      </c>
      <c r="O599" t="s">
        <v>92</v>
      </c>
      <c r="P599" t="s">
        <v>24</v>
      </c>
    </row>
    <row r="600" spans="1:16" x14ac:dyDescent="0.3">
      <c r="A600" t="s">
        <v>37</v>
      </c>
      <c r="B600" t="s">
        <v>151</v>
      </c>
      <c r="C600" t="s">
        <v>90</v>
      </c>
      <c r="D600" t="s">
        <v>223</v>
      </c>
      <c r="E600" s="2">
        <v>2734</v>
      </c>
      <c r="F600" s="2">
        <v>7</v>
      </c>
      <c r="G600">
        <v>2296.56</v>
      </c>
      <c r="H600" s="2">
        <v>16841.439999999999</v>
      </c>
      <c r="I600" s="2">
        <v>3171.4399999999987</v>
      </c>
      <c r="J600" s="3">
        <v>44664</v>
      </c>
      <c r="K600" t="s">
        <v>67</v>
      </c>
      <c r="L600" t="s">
        <v>68</v>
      </c>
      <c r="M600">
        <v>2022</v>
      </c>
      <c r="N600" t="s">
        <v>152</v>
      </c>
      <c r="O600" t="s">
        <v>92</v>
      </c>
      <c r="P600" t="s">
        <v>54</v>
      </c>
    </row>
    <row r="601" spans="1:16" x14ac:dyDescent="0.3">
      <c r="A601" t="s">
        <v>37</v>
      </c>
      <c r="B601" t="s">
        <v>97</v>
      </c>
      <c r="C601" t="s">
        <v>62</v>
      </c>
      <c r="D601" t="s">
        <v>223</v>
      </c>
      <c r="E601" s="2">
        <v>2521.5</v>
      </c>
      <c r="F601" s="2">
        <v>20</v>
      </c>
      <c r="G601">
        <v>6051.6</v>
      </c>
      <c r="H601" s="2">
        <v>44378.399999999994</v>
      </c>
      <c r="I601" s="2">
        <v>19163.399999999998</v>
      </c>
      <c r="J601" s="3">
        <v>44784</v>
      </c>
      <c r="K601" t="s">
        <v>39</v>
      </c>
      <c r="L601" t="s">
        <v>21</v>
      </c>
      <c r="M601">
        <v>2022</v>
      </c>
      <c r="N601" t="s">
        <v>98</v>
      </c>
      <c r="O601" t="s">
        <v>65</v>
      </c>
      <c r="P601" t="s">
        <v>46</v>
      </c>
    </row>
    <row r="602" spans="1:16" x14ac:dyDescent="0.3">
      <c r="A602" t="s">
        <v>42</v>
      </c>
      <c r="B602" t="s">
        <v>274</v>
      </c>
      <c r="C602" t="s">
        <v>18</v>
      </c>
      <c r="D602" t="s">
        <v>223</v>
      </c>
      <c r="E602" s="2">
        <v>2661</v>
      </c>
      <c r="F602" s="2">
        <v>12</v>
      </c>
      <c r="G602">
        <v>3831.84</v>
      </c>
      <c r="H602" s="2">
        <v>28100.16</v>
      </c>
      <c r="I602" s="2">
        <v>20117.16</v>
      </c>
      <c r="J602" s="3">
        <v>44389</v>
      </c>
      <c r="K602" t="s">
        <v>44</v>
      </c>
      <c r="L602" t="s">
        <v>21</v>
      </c>
      <c r="M602">
        <v>2022</v>
      </c>
      <c r="N602" t="s">
        <v>201</v>
      </c>
      <c r="O602" t="s">
        <v>23</v>
      </c>
      <c r="P602" t="s">
        <v>60</v>
      </c>
    </row>
    <row r="603" spans="1:16" x14ac:dyDescent="0.3">
      <c r="A603" t="s">
        <v>37</v>
      </c>
      <c r="B603" t="s">
        <v>200</v>
      </c>
      <c r="C603" t="s">
        <v>27</v>
      </c>
      <c r="D603" t="s">
        <v>223</v>
      </c>
      <c r="E603" s="2">
        <v>1531</v>
      </c>
      <c r="F603" s="2">
        <v>20</v>
      </c>
      <c r="G603">
        <v>3674.4</v>
      </c>
      <c r="H603" s="2">
        <v>26945.599999999999</v>
      </c>
      <c r="I603" s="2">
        <v>11635.599999999999</v>
      </c>
      <c r="J603" s="3">
        <v>44335</v>
      </c>
      <c r="K603" t="s">
        <v>104</v>
      </c>
      <c r="L603" t="s">
        <v>68</v>
      </c>
      <c r="M603">
        <v>2022</v>
      </c>
      <c r="N603" t="s">
        <v>201</v>
      </c>
      <c r="O603" t="s">
        <v>31</v>
      </c>
      <c r="P603" t="s">
        <v>60</v>
      </c>
    </row>
    <row r="604" spans="1:16" x14ac:dyDescent="0.3">
      <c r="A604" t="s">
        <v>37</v>
      </c>
      <c r="B604" t="s">
        <v>55</v>
      </c>
      <c r="C604" t="s">
        <v>56</v>
      </c>
      <c r="D604" t="s">
        <v>223</v>
      </c>
      <c r="E604" s="2">
        <v>1491</v>
      </c>
      <c r="F604" s="2">
        <v>7</v>
      </c>
      <c r="G604">
        <v>1252.44</v>
      </c>
      <c r="H604" s="2">
        <v>9184.56</v>
      </c>
      <c r="I604" s="2">
        <v>1729.5599999999995</v>
      </c>
      <c r="J604" s="3">
        <v>44278</v>
      </c>
      <c r="K604" t="s">
        <v>82</v>
      </c>
      <c r="L604" t="s">
        <v>29</v>
      </c>
      <c r="M604">
        <v>2022</v>
      </c>
      <c r="N604" t="s">
        <v>58</v>
      </c>
      <c r="O604" t="s">
        <v>59</v>
      </c>
      <c r="P604" t="s">
        <v>60</v>
      </c>
    </row>
    <row r="605" spans="1:16" x14ac:dyDescent="0.3">
      <c r="A605" t="s">
        <v>37</v>
      </c>
      <c r="B605" t="s">
        <v>170</v>
      </c>
      <c r="C605" t="s">
        <v>56</v>
      </c>
      <c r="D605" t="s">
        <v>223</v>
      </c>
      <c r="E605" s="2">
        <v>1531</v>
      </c>
      <c r="F605" s="2">
        <v>20</v>
      </c>
      <c r="G605">
        <v>3674.4</v>
      </c>
      <c r="H605" s="2">
        <v>26945.599999999999</v>
      </c>
      <c r="I605" s="2">
        <v>11635.599999999999</v>
      </c>
      <c r="J605" s="3">
        <v>44455</v>
      </c>
      <c r="K605" t="s">
        <v>20</v>
      </c>
      <c r="L605" t="s">
        <v>21</v>
      </c>
      <c r="M605">
        <v>2022</v>
      </c>
      <c r="N605" t="s">
        <v>171</v>
      </c>
      <c r="O605" t="s">
        <v>59</v>
      </c>
      <c r="P605" t="s">
        <v>60</v>
      </c>
    </row>
    <row r="606" spans="1:16" x14ac:dyDescent="0.3">
      <c r="A606" t="s">
        <v>25</v>
      </c>
      <c r="B606" t="s">
        <v>290</v>
      </c>
      <c r="C606" t="s">
        <v>62</v>
      </c>
      <c r="D606" t="s">
        <v>223</v>
      </c>
      <c r="E606" s="2">
        <v>2567</v>
      </c>
      <c r="F606" s="2">
        <v>15</v>
      </c>
      <c r="G606">
        <v>5005.6499999999996</v>
      </c>
      <c r="H606" s="2">
        <v>33499.35</v>
      </c>
      <c r="I606" s="2">
        <v>7829.3499999999985</v>
      </c>
      <c r="J606" s="3">
        <v>44534</v>
      </c>
      <c r="K606" t="s">
        <v>75</v>
      </c>
      <c r="L606" t="s">
        <v>72</v>
      </c>
      <c r="M606">
        <v>2022</v>
      </c>
      <c r="N606" t="s">
        <v>230</v>
      </c>
      <c r="O606" t="s">
        <v>65</v>
      </c>
      <c r="P606" t="s">
        <v>60</v>
      </c>
    </row>
    <row r="607" spans="1:16" x14ac:dyDescent="0.3">
      <c r="A607" t="s">
        <v>25</v>
      </c>
      <c r="B607" t="s">
        <v>293</v>
      </c>
      <c r="C607" t="s">
        <v>56</v>
      </c>
      <c r="D607" t="s">
        <v>223</v>
      </c>
      <c r="E607" s="2">
        <v>2567</v>
      </c>
      <c r="F607" s="2">
        <v>15</v>
      </c>
      <c r="G607">
        <v>5005.6499999999996</v>
      </c>
      <c r="H607" s="2">
        <v>33499.35</v>
      </c>
      <c r="I607" s="2">
        <v>7829.3499999999985</v>
      </c>
      <c r="J607" s="3">
        <v>44368</v>
      </c>
      <c r="K607" t="s">
        <v>146</v>
      </c>
      <c r="L607" t="s">
        <v>68</v>
      </c>
      <c r="M607">
        <v>2022</v>
      </c>
      <c r="N607" t="s">
        <v>236</v>
      </c>
      <c r="O607" t="s">
        <v>59</v>
      </c>
      <c r="P607" t="s">
        <v>36</v>
      </c>
    </row>
    <row r="608" spans="1:16" x14ac:dyDescent="0.3">
      <c r="A608" t="s">
        <v>37</v>
      </c>
      <c r="B608" t="s">
        <v>140</v>
      </c>
      <c r="C608" t="s">
        <v>62</v>
      </c>
      <c r="D608" t="s">
        <v>223</v>
      </c>
      <c r="E608" s="2">
        <v>923</v>
      </c>
      <c r="F608" s="2">
        <v>350</v>
      </c>
      <c r="G608">
        <v>41996.5</v>
      </c>
      <c r="H608" s="2">
        <v>281053.5</v>
      </c>
      <c r="I608" s="2">
        <v>41073.5</v>
      </c>
      <c r="J608" s="3">
        <v>44659</v>
      </c>
      <c r="K608" t="s">
        <v>67</v>
      </c>
      <c r="L608" t="s">
        <v>68</v>
      </c>
      <c r="M608">
        <v>2022</v>
      </c>
      <c r="N608" t="s">
        <v>141</v>
      </c>
      <c r="O608" t="s">
        <v>65</v>
      </c>
      <c r="P608" t="s">
        <v>32</v>
      </c>
    </row>
    <row r="609" spans="1:16" x14ac:dyDescent="0.3">
      <c r="A609" t="s">
        <v>37</v>
      </c>
      <c r="B609" t="s">
        <v>97</v>
      </c>
      <c r="C609" t="s">
        <v>62</v>
      </c>
      <c r="D609" t="s">
        <v>223</v>
      </c>
      <c r="E609" s="2">
        <v>1790</v>
      </c>
      <c r="F609" s="2">
        <v>350</v>
      </c>
      <c r="G609">
        <v>81445</v>
      </c>
      <c r="H609" s="2">
        <v>545055</v>
      </c>
      <c r="I609" s="2">
        <v>79655</v>
      </c>
      <c r="J609" s="3">
        <v>44404</v>
      </c>
      <c r="K609" t="s">
        <v>44</v>
      </c>
      <c r="L609" t="s">
        <v>21</v>
      </c>
      <c r="M609">
        <v>2022</v>
      </c>
      <c r="N609" t="s">
        <v>98</v>
      </c>
      <c r="O609" t="s">
        <v>65</v>
      </c>
      <c r="P609" t="s">
        <v>46</v>
      </c>
    </row>
    <row r="610" spans="1:16" x14ac:dyDescent="0.3">
      <c r="A610" t="s">
        <v>37</v>
      </c>
      <c r="B610" t="s">
        <v>249</v>
      </c>
      <c r="C610" t="s">
        <v>18</v>
      </c>
      <c r="D610" t="s">
        <v>223</v>
      </c>
      <c r="E610" s="2">
        <v>982.5</v>
      </c>
      <c r="F610" s="2">
        <v>350</v>
      </c>
      <c r="G610">
        <v>44703.75</v>
      </c>
      <c r="H610" s="2">
        <v>299171.25</v>
      </c>
      <c r="I610" s="2">
        <v>43721.25</v>
      </c>
      <c r="J610" s="3">
        <v>44889</v>
      </c>
      <c r="K610" t="s">
        <v>71</v>
      </c>
      <c r="L610" t="s">
        <v>72</v>
      </c>
      <c r="M610">
        <v>2022</v>
      </c>
      <c r="N610" t="s">
        <v>207</v>
      </c>
      <c r="O610" t="s">
        <v>23</v>
      </c>
      <c r="P610" t="s">
        <v>36</v>
      </c>
    </row>
    <row r="611" spans="1:16" x14ac:dyDescent="0.3">
      <c r="A611" t="s">
        <v>37</v>
      </c>
      <c r="B611" t="s">
        <v>249</v>
      </c>
      <c r="C611" t="s">
        <v>18</v>
      </c>
      <c r="D611" t="s">
        <v>223</v>
      </c>
      <c r="E611" s="2">
        <v>1298</v>
      </c>
      <c r="F611" s="2">
        <v>7</v>
      </c>
      <c r="G611">
        <v>1181.18</v>
      </c>
      <c r="H611" s="2">
        <v>7904.82</v>
      </c>
      <c r="I611" s="2">
        <v>1414.8199999999997</v>
      </c>
      <c r="J611" s="3">
        <v>44702</v>
      </c>
      <c r="K611" t="s">
        <v>104</v>
      </c>
      <c r="L611" t="s">
        <v>68</v>
      </c>
      <c r="M611">
        <v>2022</v>
      </c>
      <c r="N611" t="s">
        <v>207</v>
      </c>
      <c r="O611" t="s">
        <v>23</v>
      </c>
      <c r="P611" t="s">
        <v>36</v>
      </c>
    </row>
    <row r="612" spans="1:16" x14ac:dyDescent="0.3">
      <c r="A612" t="s">
        <v>42</v>
      </c>
      <c r="B612" t="s">
        <v>274</v>
      </c>
      <c r="C612" t="s">
        <v>18</v>
      </c>
      <c r="D612" t="s">
        <v>223</v>
      </c>
      <c r="E612" s="2">
        <v>604</v>
      </c>
      <c r="F612" s="2">
        <v>12</v>
      </c>
      <c r="G612">
        <v>942.24</v>
      </c>
      <c r="H612" s="2">
        <v>6305.76</v>
      </c>
      <c r="I612" s="2">
        <v>4493.76</v>
      </c>
      <c r="J612" s="3">
        <v>44387</v>
      </c>
      <c r="K612" t="s">
        <v>44</v>
      </c>
      <c r="L612" t="s">
        <v>21</v>
      </c>
      <c r="M612">
        <v>2022</v>
      </c>
      <c r="N612" t="s">
        <v>201</v>
      </c>
      <c r="O612" t="s">
        <v>23</v>
      </c>
      <c r="P612" t="s">
        <v>60</v>
      </c>
    </row>
    <row r="613" spans="1:16" x14ac:dyDescent="0.3">
      <c r="A613" t="s">
        <v>37</v>
      </c>
      <c r="B613" t="s">
        <v>156</v>
      </c>
      <c r="C613" t="s">
        <v>18</v>
      </c>
      <c r="D613" t="s">
        <v>223</v>
      </c>
      <c r="E613" s="2">
        <v>2255</v>
      </c>
      <c r="F613" s="2">
        <v>20</v>
      </c>
      <c r="G613">
        <v>5863</v>
      </c>
      <c r="H613" s="2">
        <v>39237</v>
      </c>
      <c r="I613" s="2">
        <v>16687</v>
      </c>
      <c r="J613" s="3">
        <v>44641</v>
      </c>
      <c r="K613" t="s">
        <v>82</v>
      </c>
      <c r="L613" t="s">
        <v>29</v>
      </c>
      <c r="M613">
        <v>2022</v>
      </c>
      <c r="N613" t="s">
        <v>157</v>
      </c>
      <c r="O613" t="s">
        <v>23</v>
      </c>
      <c r="P613" t="s">
        <v>24</v>
      </c>
    </row>
    <row r="614" spans="1:16" x14ac:dyDescent="0.3">
      <c r="A614" t="s">
        <v>37</v>
      </c>
      <c r="B614" t="s">
        <v>142</v>
      </c>
      <c r="C614" t="s">
        <v>18</v>
      </c>
      <c r="D614" t="s">
        <v>223</v>
      </c>
      <c r="E614" s="2">
        <v>1249</v>
      </c>
      <c r="F614" s="2">
        <v>20</v>
      </c>
      <c r="G614">
        <v>3247.4</v>
      </c>
      <c r="H614" s="2">
        <v>21732.6</v>
      </c>
      <c r="I614" s="2">
        <v>9242.5999999999985</v>
      </c>
      <c r="J614" s="3">
        <v>44302</v>
      </c>
      <c r="K614" t="s">
        <v>67</v>
      </c>
      <c r="L614" t="s">
        <v>68</v>
      </c>
      <c r="M614">
        <v>2022</v>
      </c>
      <c r="N614" t="s">
        <v>143</v>
      </c>
      <c r="O614" t="s">
        <v>23</v>
      </c>
      <c r="P614" t="s">
        <v>36</v>
      </c>
    </row>
    <row r="615" spans="1:16" x14ac:dyDescent="0.3">
      <c r="A615" t="s">
        <v>37</v>
      </c>
      <c r="B615" t="s">
        <v>110</v>
      </c>
      <c r="C615" t="s">
        <v>27</v>
      </c>
      <c r="D615" t="s">
        <v>223</v>
      </c>
      <c r="E615" s="2">
        <v>1438.5</v>
      </c>
      <c r="F615" s="2">
        <v>7</v>
      </c>
      <c r="G615">
        <v>1309.0350000000001</v>
      </c>
      <c r="H615" s="2">
        <v>8760.4650000000001</v>
      </c>
      <c r="I615" s="2">
        <v>1567.9649999999992</v>
      </c>
      <c r="J615" s="3">
        <v>44466</v>
      </c>
      <c r="K615" t="s">
        <v>20</v>
      </c>
      <c r="L615" t="s">
        <v>21</v>
      </c>
      <c r="M615">
        <v>2022</v>
      </c>
      <c r="N615" t="s">
        <v>111</v>
      </c>
      <c r="O615" t="s">
        <v>31</v>
      </c>
      <c r="P615" t="s">
        <v>36</v>
      </c>
    </row>
    <row r="616" spans="1:16" x14ac:dyDescent="0.3">
      <c r="A616" t="s">
        <v>33</v>
      </c>
      <c r="B616" t="s">
        <v>195</v>
      </c>
      <c r="C616" t="s">
        <v>27</v>
      </c>
      <c r="D616" t="s">
        <v>223</v>
      </c>
      <c r="E616" s="2">
        <v>807</v>
      </c>
      <c r="F616" s="2">
        <v>300</v>
      </c>
      <c r="G616">
        <v>31473</v>
      </c>
      <c r="H616" s="2">
        <v>210627</v>
      </c>
      <c r="I616" s="2">
        <v>8877</v>
      </c>
      <c r="J616" s="3">
        <v>44735</v>
      </c>
      <c r="K616" t="s">
        <v>146</v>
      </c>
      <c r="L616" t="s">
        <v>68</v>
      </c>
      <c r="M616">
        <v>2022</v>
      </c>
      <c r="N616" t="s">
        <v>173</v>
      </c>
      <c r="O616" t="s">
        <v>31</v>
      </c>
      <c r="P616" t="s">
        <v>46</v>
      </c>
    </row>
    <row r="617" spans="1:16" x14ac:dyDescent="0.3">
      <c r="A617" t="s">
        <v>37</v>
      </c>
      <c r="B617" t="s">
        <v>110</v>
      </c>
      <c r="C617" t="s">
        <v>27</v>
      </c>
      <c r="D617" t="s">
        <v>223</v>
      </c>
      <c r="E617" s="2">
        <v>2641</v>
      </c>
      <c r="F617" s="2">
        <v>20</v>
      </c>
      <c r="G617">
        <v>6866.6</v>
      </c>
      <c r="H617" s="2">
        <v>45953.4</v>
      </c>
      <c r="I617" s="2">
        <v>19543.400000000001</v>
      </c>
      <c r="J617" s="3">
        <v>44583</v>
      </c>
      <c r="K617" t="s">
        <v>28</v>
      </c>
      <c r="L617" t="s">
        <v>29</v>
      </c>
      <c r="M617">
        <v>2022</v>
      </c>
      <c r="N617" t="s">
        <v>111</v>
      </c>
      <c r="O617" t="s">
        <v>31</v>
      </c>
      <c r="P617" t="s">
        <v>36</v>
      </c>
    </row>
    <row r="618" spans="1:16" x14ac:dyDescent="0.3">
      <c r="A618" t="s">
        <v>37</v>
      </c>
      <c r="B618" t="s">
        <v>200</v>
      </c>
      <c r="C618" t="s">
        <v>27</v>
      </c>
      <c r="D618" t="s">
        <v>223</v>
      </c>
      <c r="E618" s="2">
        <v>2708</v>
      </c>
      <c r="F618" s="2">
        <v>20</v>
      </c>
      <c r="G618">
        <v>7040.8</v>
      </c>
      <c r="H618" s="2">
        <v>47119.199999999997</v>
      </c>
      <c r="I618" s="2">
        <v>20039.199999999997</v>
      </c>
      <c r="J618" s="3">
        <v>44861</v>
      </c>
      <c r="K618" t="s">
        <v>85</v>
      </c>
      <c r="L618" t="s">
        <v>72</v>
      </c>
      <c r="M618">
        <v>2022</v>
      </c>
      <c r="N618" t="s">
        <v>201</v>
      </c>
      <c r="O618" t="s">
        <v>31</v>
      </c>
      <c r="P618" t="s">
        <v>60</v>
      </c>
    </row>
    <row r="619" spans="1:16" x14ac:dyDescent="0.3">
      <c r="A619" t="s">
        <v>37</v>
      </c>
      <c r="B619" t="s">
        <v>38</v>
      </c>
      <c r="C619" t="s">
        <v>27</v>
      </c>
      <c r="D619" t="s">
        <v>223</v>
      </c>
      <c r="E619" s="2">
        <v>2632</v>
      </c>
      <c r="F619" s="2">
        <v>350</v>
      </c>
      <c r="G619">
        <v>119756</v>
      </c>
      <c r="H619" s="2">
        <v>801444</v>
      </c>
      <c r="I619" s="2">
        <v>117124</v>
      </c>
      <c r="J619" s="3">
        <v>44521</v>
      </c>
      <c r="K619" t="s">
        <v>71</v>
      </c>
      <c r="L619" t="s">
        <v>72</v>
      </c>
      <c r="M619">
        <v>2022</v>
      </c>
      <c r="N619" t="s">
        <v>40</v>
      </c>
      <c r="O619" t="s">
        <v>31</v>
      </c>
      <c r="P619" t="s">
        <v>41</v>
      </c>
    </row>
    <row r="620" spans="1:16" x14ac:dyDescent="0.3">
      <c r="A620" t="s">
        <v>16</v>
      </c>
      <c r="B620" t="s">
        <v>276</v>
      </c>
      <c r="C620" t="s">
        <v>27</v>
      </c>
      <c r="D620" t="s">
        <v>223</v>
      </c>
      <c r="E620" s="2">
        <v>1583</v>
      </c>
      <c r="F620" s="2">
        <v>125</v>
      </c>
      <c r="G620">
        <v>25723.75</v>
      </c>
      <c r="H620" s="2">
        <v>172151.25</v>
      </c>
      <c r="I620" s="2">
        <v>-17808.75</v>
      </c>
      <c r="J620" s="3">
        <v>44858</v>
      </c>
      <c r="K620" t="s">
        <v>85</v>
      </c>
      <c r="L620" t="s">
        <v>72</v>
      </c>
      <c r="M620">
        <v>2022</v>
      </c>
      <c r="N620" t="s">
        <v>205</v>
      </c>
      <c r="O620" t="s">
        <v>31</v>
      </c>
      <c r="P620" t="s">
        <v>32</v>
      </c>
    </row>
    <row r="621" spans="1:16" x14ac:dyDescent="0.3">
      <c r="A621" t="s">
        <v>42</v>
      </c>
      <c r="B621" t="s">
        <v>198</v>
      </c>
      <c r="C621" t="s">
        <v>27</v>
      </c>
      <c r="D621" t="s">
        <v>223</v>
      </c>
      <c r="E621" s="2">
        <v>571</v>
      </c>
      <c r="F621" s="2">
        <v>12</v>
      </c>
      <c r="G621">
        <v>890.76</v>
      </c>
      <c r="H621" s="2">
        <v>5961.24</v>
      </c>
      <c r="I621" s="2">
        <v>4248.24</v>
      </c>
      <c r="J621" s="3">
        <v>44438</v>
      </c>
      <c r="K621" t="s">
        <v>39</v>
      </c>
      <c r="L621" t="s">
        <v>21</v>
      </c>
      <c r="M621">
        <v>2022</v>
      </c>
      <c r="N621" t="s">
        <v>199</v>
      </c>
      <c r="O621" t="s">
        <v>31</v>
      </c>
      <c r="P621" t="s">
        <v>54</v>
      </c>
    </row>
    <row r="622" spans="1:16" x14ac:dyDescent="0.3">
      <c r="A622" t="s">
        <v>37</v>
      </c>
      <c r="B622" t="s">
        <v>162</v>
      </c>
      <c r="C622" t="s">
        <v>27</v>
      </c>
      <c r="D622" t="s">
        <v>223</v>
      </c>
      <c r="E622" s="2">
        <v>2696</v>
      </c>
      <c r="F622" s="2">
        <v>7</v>
      </c>
      <c r="G622">
        <v>2453.36</v>
      </c>
      <c r="H622" s="2">
        <v>16418.64</v>
      </c>
      <c r="I622" s="2">
        <v>2938.6399999999994</v>
      </c>
      <c r="J622" s="3">
        <v>44883</v>
      </c>
      <c r="K622" t="s">
        <v>71</v>
      </c>
      <c r="L622" t="s">
        <v>72</v>
      </c>
      <c r="M622">
        <v>2022</v>
      </c>
      <c r="N622" t="s">
        <v>163</v>
      </c>
      <c r="O622" t="s">
        <v>31</v>
      </c>
      <c r="P622" t="s">
        <v>41</v>
      </c>
    </row>
    <row r="623" spans="1:16" x14ac:dyDescent="0.3">
      <c r="A623" t="s">
        <v>25</v>
      </c>
      <c r="B623" t="s">
        <v>47</v>
      </c>
      <c r="C623" t="s">
        <v>27</v>
      </c>
      <c r="D623" t="s">
        <v>223</v>
      </c>
      <c r="E623" s="2">
        <v>1565</v>
      </c>
      <c r="F623" s="2">
        <v>15</v>
      </c>
      <c r="G623">
        <v>3051.75</v>
      </c>
      <c r="H623" s="2">
        <v>20423.25</v>
      </c>
      <c r="I623" s="2">
        <v>4773.25</v>
      </c>
      <c r="J623" s="3">
        <v>44590</v>
      </c>
      <c r="K623" t="s">
        <v>28</v>
      </c>
      <c r="L623" t="s">
        <v>29</v>
      </c>
      <c r="M623">
        <v>2022</v>
      </c>
      <c r="N623" t="s">
        <v>48</v>
      </c>
      <c r="O623" t="s">
        <v>31</v>
      </c>
      <c r="P623" t="s">
        <v>49</v>
      </c>
    </row>
    <row r="624" spans="1:16" x14ac:dyDescent="0.3">
      <c r="A624" t="s">
        <v>37</v>
      </c>
      <c r="B624" t="s">
        <v>38</v>
      </c>
      <c r="C624" t="s">
        <v>27</v>
      </c>
      <c r="D624" t="s">
        <v>223</v>
      </c>
      <c r="E624" s="2">
        <v>1249</v>
      </c>
      <c r="F624" s="2">
        <v>20</v>
      </c>
      <c r="G624">
        <v>3247.4</v>
      </c>
      <c r="H624" s="2">
        <v>21732.6</v>
      </c>
      <c r="I624" s="2">
        <v>9242.5999999999985</v>
      </c>
      <c r="J624" s="3">
        <v>44557</v>
      </c>
      <c r="K624" t="s">
        <v>75</v>
      </c>
      <c r="L624" t="s">
        <v>72</v>
      </c>
      <c r="M624">
        <v>2022</v>
      </c>
      <c r="N624" t="s">
        <v>40</v>
      </c>
      <c r="O624" t="s">
        <v>31</v>
      </c>
      <c r="P624" t="s">
        <v>41</v>
      </c>
    </row>
    <row r="625" spans="1:16" x14ac:dyDescent="0.3">
      <c r="A625" t="s">
        <v>37</v>
      </c>
      <c r="B625" t="s">
        <v>200</v>
      </c>
      <c r="C625" t="s">
        <v>27</v>
      </c>
      <c r="D625" t="s">
        <v>223</v>
      </c>
      <c r="E625" s="2">
        <v>357</v>
      </c>
      <c r="F625" s="2">
        <v>350</v>
      </c>
      <c r="G625">
        <v>16243.5</v>
      </c>
      <c r="H625" s="2">
        <v>108706.5</v>
      </c>
      <c r="I625" s="2">
        <v>15886.5</v>
      </c>
      <c r="J625" s="3">
        <v>44200</v>
      </c>
      <c r="K625" t="s">
        <v>28</v>
      </c>
      <c r="L625" t="s">
        <v>29</v>
      </c>
      <c r="M625">
        <v>2022</v>
      </c>
      <c r="N625" t="s">
        <v>201</v>
      </c>
      <c r="O625" t="s">
        <v>31</v>
      </c>
      <c r="P625" t="s">
        <v>60</v>
      </c>
    </row>
    <row r="626" spans="1:16" x14ac:dyDescent="0.3">
      <c r="A626" t="s">
        <v>42</v>
      </c>
      <c r="B626" t="s">
        <v>79</v>
      </c>
      <c r="C626" t="s">
        <v>27</v>
      </c>
      <c r="D626" t="s">
        <v>223</v>
      </c>
      <c r="E626" s="2">
        <v>1013</v>
      </c>
      <c r="F626" s="2">
        <v>12</v>
      </c>
      <c r="G626">
        <v>1580.28</v>
      </c>
      <c r="H626" s="2">
        <v>10575.72</v>
      </c>
      <c r="I626" s="2">
        <v>7536.7199999999993</v>
      </c>
      <c r="J626" s="3">
        <v>44883</v>
      </c>
      <c r="K626" t="s">
        <v>71</v>
      </c>
      <c r="L626" t="s">
        <v>72</v>
      </c>
      <c r="M626">
        <v>2022</v>
      </c>
      <c r="N626" t="s">
        <v>80</v>
      </c>
      <c r="O626" t="s">
        <v>31</v>
      </c>
      <c r="P626" t="s">
        <v>49</v>
      </c>
    </row>
    <row r="627" spans="1:16" x14ac:dyDescent="0.3">
      <c r="A627" t="s">
        <v>25</v>
      </c>
      <c r="B627" t="s">
        <v>304</v>
      </c>
      <c r="C627" t="s">
        <v>51</v>
      </c>
      <c r="D627" t="s">
        <v>223</v>
      </c>
      <c r="E627" s="2">
        <v>3997.5</v>
      </c>
      <c r="F627" s="2">
        <v>15</v>
      </c>
      <c r="G627">
        <v>7795.125</v>
      </c>
      <c r="H627" s="2">
        <v>52167.375</v>
      </c>
      <c r="I627" s="2">
        <v>12192.375</v>
      </c>
      <c r="J627" s="3">
        <v>44552</v>
      </c>
      <c r="K627" t="s">
        <v>75</v>
      </c>
      <c r="L627" t="s">
        <v>72</v>
      </c>
      <c r="M627">
        <v>2022</v>
      </c>
      <c r="N627" t="s">
        <v>253</v>
      </c>
      <c r="O627" t="s">
        <v>53</v>
      </c>
      <c r="P627" t="s">
        <v>49</v>
      </c>
    </row>
    <row r="628" spans="1:16" x14ac:dyDescent="0.3">
      <c r="A628" t="s">
        <v>37</v>
      </c>
      <c r="B628" t="s">
        <v>84</v>
      </c>
      <c r="C628" t="s">
        <v>51</v>
      </c>
      <c r="D628" t="s">
        <v>223</v>
      </c>
      <c r="E628" s="2">
        <v>2632</v>
      </c>
      <c r="F628" s="2">
        <v>350</v>
      </c>
      <c r="G628">
        <v>119756</v>
      </c>
      <c r="H628" s="2">
        <v>801444</v>
      </c>
      <c r="I628" s="2">
        <v>117124</v>
      </c>
      <c r="J628" s="3">
        <v>44625</v>
      </c>
      <c r="K628" t="s">
        <v>82</v>
      </c>
      <c r="L628" t="s">
        <v>29</v>
      </c>
      <c r="M628">
        <v>2022</v>
      </c>
      <c r="N628" t="s">
        <v>86</v>
      </c>
      <c r="O628" t="s">
        <v>53</v>
      </c>
      <c r="P628" t="s">
        <v>60</v>
      </c>
    </row>
    <row r="629" spans="1:16" x14ac:dyDescent="0.3">
      <c r="A629" t="s">
        <v>37</v>
      </c>
      <c r="B629" t="s">
        <v>166</v>
      </c>
      <c r="C629" t="s">
        <v>51</v>
      </c>
      <c r="D629" t="s">
        <v>223</v>
      </c>
      <c r="E629" s="2">
        <v>1190</v>
      </c>
      <c r="F629" s="2">
        <v>7</v>
      </c>
      <c r="G629">
        <v>1082.9000000000001</v>
      </c>
      <c r="H629" s="2">
        <v>7247.1</v>
      </c>
      <c r="I629" s="2">
        <v>1297.1000000000004</v>
      </c>
      <c r="J629" s="3">
        <v>44323</v>
      </c>
      <c r="K629" t="s">
        <v>104</v>
      </c>
      <c r="L629" t="s">
        <v>68</v>
      </c>
      <c r="M629">
        <v>2022</v>
      </c>
      <c r="N629" t="s">
        <v>167</v>
      </c>
      <c r="O629" t="s">
        <v>53</v>
      </c>
      <c r="P629" t="s">
        <v>49</v>
      </c>
    </row>
    <row r="630" spans="1:16" x14ac:dyDescent="0.3">
      <c r="A630" t="s">
        <v>42</v>
      </c>
      <c r="B630" t="s">
        <v>278</v>
      </c>
      <c r="C630" t="s">
        <v>51</v>
      </c>
      <c r="D630" t="s">
        <v>223</v>
      </c>
      <c r="E630" s="2">
        <v>604</v>
      </c>
      <c r="F630" s="2">
        <v>12</v>
      </c>
      <c r="G630">
        <v>942.24</v>
      </c>
      <c r="H630" s="2">
        <v>6305.76</v>
      </c>
      <c r="I630" s="2">
        <v>4493.76</v>
      </c>
      <c r="J630" s="3">
        <v>44449</v>
      </c>
      <c r="K630" t="s">
        <v>20</v>
      </c>
      <c r="L630" t="s">
        <v>21</v>
      </c>
      <c r="M630">
        <v>2022</v>
      </c>
      <c r="N630" t="s">
        <v>209</v>
      </c>
      <c r="O630" t="s">
        <v>53</v>
      </c>
      <c r="P630" t="s">
        <v>41</v>
      </c>
    </row>
    <row r="631" spans="1:16" x14ac:dyDescent="0.3">
      <c r="A631" t="s">
        <v>42</v>
      </c>
      <c r="B631" t="s">
        <v>278</v>
      </c>
      <c r="C631" t="s">
        <v>51</v>
      </c>
      <c r="D631" t="s">
        <v>223</v>
      </c>
      <c r="E631" s="2">
        <v>410</v>
      </c>
      <c r="F631" s="2">
        <v>12</v>
      </c>
      <c r="G631">
        <v>639.6</v>
      </c>
      <c r="H631" s="2">
        <v>4280.3999999999996</v>
      </c>
      <c r="I631" s="2">
        <v>3050.3999999999996</v>
      </c>
      <c r="J631" s="3">
        <v>44606</v>
      </c>
      <c r="K631" t="s">
        <v>57</v>
      </c>
      <c r="L631" t="s">
        <v>29</v>
      </c>
      <c r="M631">
        <v>2022</v>
      </c>
      <c r="N631" t="s">
        <v>209</v>
      </c>
      <c r="O631" t="s">
        <v>53</v>
      </c>
      <c r="P631" t="s">
        <v>41</v>
      </c>
    </row>
    <row r="632" spans="1:16" x14ac:dyDescent="0.3">
      <c r="A632" t="s">
        <v>42</v>
      </c>
      <c r="B632" t="s">
        <v>268</v>
      </c>
      <c r="C632" t="s">
        <v>51</v>
      </c>
      <c r="D632" t="s">
        <v>223</v>
      </c>
      <c r="E632" s="2">
        <v>1013</v>
      </c>
      <c r="F632" s="2">
        <v>12</v>
      </c>
      <c r="G632">
        <v>1580.28</v>
      </c>
      <c r="H632" s="2">
        <v>10575.72</v>
      </c>
      <c r="I632" s="2">
        <v>7536.7199999999993</v>
      </c>
      <c r="J632" s="3">
        <v>44790</v>
      </c>
      <c r="K632" t="s">
        <v>39</v>
      </c>
      <c r="L632" t="s">
        <v>21</v>
      </c>
      <c r="M632">
        <v>2022</v>
      </c>
      <c r="N632" t="s">
        <v>234</v>
      </c>
      <c r="O632" t="s">
        <v>53</v>
      </c>
      <c r="P632" t="s">
        <v>32</v>
      </c>
    </row>
    <row r="633" spans="1:16" x14ac:dyDescent="0.3">
      <c r="A633" t="s">
        <v>16</v>
      </c>
      <c r="B633" t="s">
        <v>258</v>
      </c>
      <c r="C633" t="s">
        <v>56</v>
      </c>
      <c r="D633" t="s">
        <v>223</v>
      </c>
      <c r="E633" s="2">
        <v>1583</v>
      </c>
      <c r="F633" s="2">
        <v>125</v>
      </c>
      <c r="G633">
        <v>25723.75</v>
      </c>
      <c r="H633" s="2">
        <v>172151.25</v>
      </c>
      <c r="I633" s="2">
        <v>-17808.75</v>
      </c>
      <c r="J633" s="3">
        <v>44453</v>
      </c>
      <c r="K633" t="s">
        <v>20</v>
      </c>
      <c r="L633" t="s">
        <v>21</v>
      </c>
      <c r="M633">
        <v>2022</v>
      </c>
      <c r="N633" t="s">
        <v>135</v>
      </c>
      <c r="O633" t="s">
        <v>59</v>
      </c>
      <c r="P633" t="s">
        <v>24</v>
      </c>
    </row>
    <row r="634" spans="1:16" x14ac:dyDescent="0.3">
      <c r="A634" t="s">
        <v>25</v>
      </c>
      <c r="B634" t="s">
        <v>291</v>
      </c>
      <c r="C634" t="s">
        <v>56</v>
      </c>
      <c r="D634" t="s">
        <v>223</v>
      </c>
      <c r="E634" s="2">
        <v>1565</v>
      </c>
      <c r="F634" s="2">
        <v>15</v>
      </c>
      <c r="G634">
        <v>3051.75</v>
      </c>
      <c r="H634" s="2">
        <v>20423.25</v>
      </c>
      <c r="I634" s="2">
        <v>4773.25</v>
      </c>
      <c r="J634" s="3">
        <v>44733</v>
      </c>
      <c r="K634" t="s">
        <v>146</v>
      </c>
      <c r="L634" t="s">
        <v>68</v>
      </c>
      <c r="M634">
        <v>2022</v>
      </c>
      <c r="N634" t="s">
        <v>232</v>
      </c>
      <c r="O634" t="s">
        <v>59</v>
      </c>
      <c r="P634" t="s">
        <v>24</v>
      </c>
    </row>
    <row r="635" spans="1:16" x14ac:dyDescent="0.3">
      <c r="A635" t="s">
        <v>16</v>
      </c>
      <c r="B635" t="s">
        <v>297</v>
      </c>
      <c r="C635" t="s">
        <v>90</v>
      </c>
      <c r="D635" t="s">
        <v>223</v>
      </c>
      <c r="E635" s="2">
        <v>1659</v>
      </c>
      <c r="F635" s="2">
        <v>125</v>
      </c>
      <c r="G635">
        <v>26958.75</v>
      </c>
      <c r="H635" s="2">
        <v>180416.25</v>
      </c>
      <c r="I635" s="2">
        <v>-18663.75</v>
      </c>
      <c r="J635" s="3">
        <v>44430</v>
      </c>
      <c r="K635" t="s">
        <v>39</v>
      </c>
      <c r="L635" t="s">
        <v>21</v>
      </c>
      <c r="M635">
        <v>2022</v>
      </c>
      <c r="N635" t="s">
        <v>243</v>
      </c>
      <c r="O635" t="s">
        <v>92</v>
      </c>
      <c r="P635" t="s">
        <v>54</v>
      </c>
    </row>
    <row r="636" spans="1:16" x14ac:dyDescent="0.3">
      <c r="A636" t="s">
        <v>37</v>
      </c>
      <c r="B636" t="s">
        <v>187</v>
      </c>
      <c r="C636" t="s">
        <v>90</v>
      </c>
      <c r="D636" t="s">
        <v>223</v>
      </c>
      <c r="E636" s="2">
        <v>1190</v>
      </c>
      <c r="F636" s="2">
        <v>7</v>
      </c>
      <c r="G636">
        <v>1082.9000000000001</v>
      </c>
      <c r="H636" s="2">
        <v>7247.1</v>
      </c>
      <c r="I636" s="2">
        <v>1297.1000000000004</v>
      </c>
      <c r="J636" s="3">
        <v>44609</v>
      </c>
      <c r="K636" t="s">
        <v>57</v>
      </c>
      <c r="L636" t="s">
        <v>29</v>
      </c>
      <c r="M636">
        <v>2022</v>
      </c>
      <c r="N636" t="s">
        <v>188</v>
      </c>
      <c r="O636" t="s">
        <v>92</v>
      </c>
      <c r="P636" t="s">
        <v>24</v>
      </c>
    </row>
    <row r="637" spans="1:16" x14ac:dyDescent="0.3">
      <c r="A637" t="s">
        <v>42</v>
      </c>
      <c r="B637" t="s">
        <v>208</v>
      </c>
      <c r="C637" t="s">
        <v>90</v>
      </c>
      <c r="D637" t="s">
        <v>223</v>
      </c>
      <c r="E637" s="2">
        <v>410</v>
      </c>
      <c r="F637" s="2">
        <v>12</v>
      </c>
      <c r="G637">
        <v>639.6</v>
      </c>
      <c r="H637" s="2">
        <v>4280.3999999999996</v>
      </c>
      <c r="I637" s="2">
        <v>3050.3999999999996</v>
      </c>
      <c r="J637" s="3">
        <v>44583</v>
      </c>
      <c r="K637" t="s">
        <v>28</v>
      </c>
      <c r="L637" t="s">
        <v>29</v>
      </c>
      <c r="M637">
        <v>2022</v>
      </c>
      <c r="N637" t="s">
        <v>209</v>
      </c>
      <c r="O637" t="s">
        <v>92</v>
      </c>
      <c r="P637" t="s">
        <v>41</v>
      </c>
    </row>
    <row r="638" spans="1:16" x14ac:dyDescent="0.3">
      <c r="A638" t="s">
        <v>37</v>
      </c>
      <c r="B638" t="s">
        <v>189</v>
      </c>
      <c r="C638" t="s">
        <v>62</v>
      </c>
      <c r="D638" t="s">
        <v>223</v>
      </c>
      <c r="E638" s="2">
        <v>2579</v>
      </c>
      <c r="F638" s="2">
        <v>20</v>
      </c>
      <c r="G638">
        <v>7221.2</v>
      </c>
      <c r="H638" s="2">
        <v>44358.8</v>
      </c>
      <c r="I638" s="2">
        <v>18568.800000000003</v>
      </c>
      <c r="J638" s="3">
        <v>44258</v>
      </c>
      <c r="K638" t="s">
        <v>82</v>
      </c>
      <c r="L638" t="s">
        <v>29</v>
      </c>
      <c r="M638">
        <v>2022</v>
      </c>
      <c r="N638" t="s">
        <v>190</v>
      </c>
      <c r="O638" t="s">
        <v>65</v>
      </c>
      <c r="P638" t="s">
        <v>32</v>
      </c>
    </row>
    <row r="639" spans="1:16" x14ac:dyDescent="0.3">
      <c r="A639" t="s">
        <v>37</v>
      </c>
      <c r="B639" t="s">
        <v>172</v>
      </c>
      <c r="C639" t="s">
        <v>62</v>
      </c>
      <c r="D639" t="s">
        <v>223</v>
      </c>
      <c r="E639" s="2">
        <v>1743</v>
      </c>
      <c r="F639" s="2">
        <v>20</v>
      </c>
      <c r="G639">
        <v>4880.3999999999996</v>
      </c>
      <c r="H639" s="2">
        <v>29979.599999999999</v>
      </c>
      <c r="I639" s="2">
        <v>12549.599999999999</v>
      </c>
      <c r="J639" s="3">
        <v>44825</v>
      </c>
      <c r="K639" t="s">
        <v>20</v>
      </c>
      <c r="L639" t="s">
        <v>21</v>
      </c>
      <c r="M639">
        <v>2022</v>
      </c>
      <c r="N639" t="s">
        <v>173</v>
      </c>
      <c r="O639" t="s">
        <v>65</v>
      </c>
      <c r="P639" t="s">
        <v>24</v>
      </c>
    </row>
    <row r="640" spans="1:16" x14ac:dyDescent="0.3">
      <c r="A640" t="s">
        <v>37</v>
      </c>
      <c r="B640" t="s">
        <v>154</v>
      </c>
      <c r="C640" t="s">
        <v>62</v>
      </c>
      <c r="D640" t="s">
        <v>223</v>
      </c>
      <c r="E640" s="2">
        <v>280</v>
      </c>
      <c r="F640" s="2">
        <v>7</v>
      </c>
      <c r="G640">
        <v>274.39999999999998</v>
      </c>
      <c r="H640" s="2">
        <v>1685.6</v>
      </c>
      <c r="I640" s="2">
        <v>285.59999999999991</v>
      </c>
      <c r="J640" s="3">
        <v>44507</v>
      </c>
      <c r="K640" t="s">
        <v>71</v>
      </c>
      <c r="L640" t="s">
        <v>72</v>
      </c>
      <c r="M640">
        <v>2022</v>
      </c>
      <c r="N640" t="s">
        <v>155</v>
      </c>
      <c r="O640" t="s">
        <v>65</v>
      </c>
      <c r="P640" t="s">
        <v>60</v>
      </c>
    </row>
    <row r="641" spans="1:16" x14ac:dyDescent="0.3">
      <c r="A641" t="s">
        <v>37</v>
      </c>
      <c r="B641" t="s">
        <v>176</v>
      </c>
      <c r="C641" t="s">
        <v>18</v>
      </c>
      <c r="D641" t="s">
        <v>223</v>
      </c>
      <c r="E641" s="2">
        <v>293</v>
      </c>
      <c r="F641" s="2">
        <v>7</v>
      </c>
      <c r="G641">
        <v>287.14</v>
      </c>
      <c r="H641" s="2">
        <v>1763.8600000000001</v>
      </c>
      <c r="I641" s="2">
        <v>298.86000000000013</v>
      </c>
      <c r="J641" s="3">
        <v>44319</v>
      </c>
      <c r="K641" t="s">
        <v>104</v>
      </c>
      <c r="L641" t="s">
        <v>68</v>
      </c>
      <c r="M641">
        <v>2022</v>
      </c>
      <c r="N641" t="s">
        <v>177</v>
      </c>
      <c r="O641" t="s">
        <v>23</v>
      </c>
      <c r="P641" t="s">
        <v>36</v>
      </c>
    </row>
    <row r="642" spans="1:16" x14ac:dyDescent="0.3">
      <c r="A642" t="s">
        <v>25</v>
      </c>
      <c r="B642" t="s">
        <v>132</v>
      </c>
      <c r="C642" t="s">
        <v>27</v>
      </c>
      <c r="D642" t="s">
        <v>223</v>
      </c>
      <c r="E642" s="2">
        <v>278</v>
      </c>
      <c r="F642" s="2">
        <v>15</v>
      </c>
      <c r="G642">
        <v>583.79999999999995</v>
      </c>
      <c r="H642" s="2">
        <v>3586.2</v>
      </c>
      <c r="I642" s="2">
        <v>806.19999999999982</v>
      </c>
      <c r="J642" s="3">
        <v>44462</v>
      </c>
      <c r="K642" t="s">
        <v>20</v>
      </c>
      <c r="L642" t="s">
        <v>21</v>
      </c>
      <c r="M642">
        <v>2022</v>
      </c>
      <c r="N642" t="s">
        <v>133</v>
      </c>
      <c r="O642" t="s">
        <v>31</v>
      </c>
      <c r="P642" t="s">
        <v>49</v>
      </c>
    </row>
    <row r="643" spans="1:16" x14ac:dyDescent="0.3">
      <c r="A643" t="s">
        <v>37</v>
      </c>
      <c r="B643" t="s">
        <v>38</v>
      </c>
      <c r="C643" t="s">
        <v>27</v>
      </c>
      <c r="D643" t="s">
        <v>223</v>
      </c>
      <c r="E643" s="2">
        <v>2428</v>
      </c>
      <c r="F643" s="2">
        <v>20</v>
      </c>
      <c r="G643">
        <v>6798.4</v>
      </c>
      <c r="H643" s="2">
        <v>41761.599999999999</v>
      </c>
      <c r="I643" s="2">
        <v>17481.599999999999</v>
      </c>
      <c r="J643" s="3">
        <v>44529</v>
      </c>
      <c r="K643" t="s">
        <v>71</v>
      </c>
      <c r="L643" t="s">
        <v>72</v>
      </c>
      <c r="M643">
        <v>2022</v>
      </c>
      <c r="N643" t="s">
        <v>40</v>
      </c>
      <c r="O643" t="s">
        <v>31</v>
      </c>
      <c r="P643" t="s">
        <v>41</v>
      </c>
    </row>
    <row r="644" spans="1:16" x14ac:dyDescent="0.3">
      <c r="A644" t="s">
        <v>25</v>
      </c>
      <c r="B644" t="s">
        <v>108</v>
      </c>
      <c r="C644" t="s">
        <v>27</v>
      </c>
      <c r="D644" t="s">
        <v>223</v>
      </c>
      <c r="E644" s="2">
        <v>1767</v>
      </c>
      <c r="F644" s="2">
        <v>15</v>
      </c>
      <c r="G644">
        <v>3710.7</v>
      </c>
      <c r="H644" s="2">
        <v>22794.3</v>
      </c>
      <c r="I644" s="2">
        <v>5124.2999999999993</v>
      </c>
      <c r="J644" s="3">
        <v>44612</v>
      </c>
      <c r="K644" t="s">
        <v>57</v>
      </c>
      <c r="L644" t="s">
        <v>29</v>
      </c>
      <c r="M644">
        <v>2022</v>
      </c>
      <c r="N644" t="s">
        <v>109</v>
      </c>
      <c r="O644" t="s">
        <v>31</v>
      </c>
      <c r="P644" t="s">
        <v>32</v>
      </c>
    </row>
    <row r="645" spans="1:16" x14ac:dyDescent="0.3">
      <c r="A645" t="s">
        <v>42</v>
      </c>
      <c r="B645" t="s">
        <v>106</v>
      </c>
      <c r="C645" t="s">
        <v>27</v>
      </c>
      <c r="D645" t="s">
        <v>223</v>
      </c>
      <c r="E645" s="2">
        <v>1393</v>
      </c>
      <c r="F645" s="2">
        <v>12</v>
      </c>
      <c r="G645">
        <v>2340.2399999999998</v>
      </c>
      <c r="H645" s="2">
        <v>14375.76</v>
      </c>
      <c r="I645" s="2">
        <v>10196.76</v>
      </c>
      <c r="J645" s="3">
        <v>44524</v>
      </c>
      <c r="K645" t="s">
        <v>71</v>
      </c>
      <c r="L645" t="s">
        <v>72</v>
      </c>
      <c r="M645">
        <v>2022</v>
      </c>
      <c r="N645" t="s">
        <v>107</v>
      </c>
      <c r="O645" t="s">
        <v>31</v>
      </c>
      <c r="P645" t="s">
        <v>24</v>
      </c>
    </row>
    <row r="646" spans="1:16" x14ac:dyDescent="0.3">
      <c r="A646" t="s">
        <v>37</v>
      </c>
      <c r="B646" t="s">
        <v>170</v>
      </c>
      <c r="C646" t="s">
        <v>56</v>
      </c>
      <c r="D646" t="s">
        <v>223</v>
      </c>
      <c r="E646" s="2">
        <v>280</v>
      </c>
      <c r="F646" s="2">
        <v>7</v>
      </c>
      <c r="G646">
        <v>274.39999999999998</v>
      </c>
      <c r="H646" s="2">
        <v>1685.6</v>
      </c>
      <c r="I646" s="2">
        <v>285.59999999999991</v>
      </c>
      <c r="J646" s="3">
        <v>44493</v>
      </c>
      <c r="K646" t="s">
        <v>85</v>
      </c>
      <c r="L646" t="s">
        <v>72</v>
      </c>
      <c r="M646">
        <v>2022</v>
      </c>
      <c r="N646" t="s">
        <v>171</v>
      </c>
      <c r="O646" t="s">
        <v>59</v>
      </c>
      <c r="P646" t="s">
        <v>60</v>
      </c>
    </row>
    <row r="647" spans="1:16" x14ac:dyDescent="0.3">
      <c r="A647" t="s">
        <v>42</v>
      </c>
      <c r="B647" t="s">
        <v>220</v>
      </c>
      <c r="C647" t="s">
        <v>90</v>
      </c>
      <c r="D647" t="s">
        <v>223</v>
      </c>
      <c r="E647" s="2">
        <v>1393</v>
      </c>
      <c r="F647" s="2">
        <v>12</v>
      </c>
      <c r="G647">
        <v>2340.2399999999998</v>
      </c>
      <c r="H647" s="2">
        <v>14375.76</v>
      </c>
      <c r="I647" s="2">
        <v>10196.76</v>
      </c>
      <c r="J647" s="3">
        <v>44895</v>
      </c>
      <c r="K647" t="s">
        <v>71</v>
      </c>
      <c r="L647" t="s">
        <v>72</v>
      </c>
      <c r="M647">
        <v>2022</v>
      </c>
      <c r="N647" t="s">
        <v>221</v>
      </c>
      <c r="O647" t="s">
        <v>92</v>
      </c>
      <c r="P647" t="s">
        <v>36</v>
      </c>
    </row>
    <row r="648" spans="1:16" x14ac:dyDescent="0.3">
      <c r="A648" t="s">
        <v>33</v>
      </c>
      <c r="B648" t="s">
        <v>70</v>
      </c>
      <c r="C648" t="s">
        <v>62</v>
      </c>
      <c r="D648" t="s">
        <v>223</v>
      </c>
      <c r="E648" s="2">
        <v>801</v>
      </c>
      <c r="F648" s="2">
        <v>300</v>
      </c>
      <c r="G648">
        <v>33642</v>
      </c>
      <c r="H648" s="2">
        <v>206658</v>
      </c>
      <c r="I648" s="2">
        <v>6408</v>
      </c>
      <c r="J648" s="3">
        <v>44237</v>
      </c>
      <c r="K648" t="s">
        <v>57</v>
      </c>
      <c r="L648" t="s">
        <v>29</v>
      </c>
      <c r="M648">
        <v>2022</v>
      </c>
      <c r="N648" t="s">
        <v>73</v>
      </c>
      <c r="O648" t="s">
        <v>65</v>
      </c>
      <c r="P648" t="s">
        <v>36</v>
      </c>
    </row>
    <row r="649" spans="1:16" x14ac:dyDescent="0.3">
      <c r="A649" t="s">
        <v>33</v>
      </c>
      <c r="B649" t="s">
        <v>300</v>
      </c>
      <c r="C649" t="s">
        <v>62</v>
      </c>
      <c r="D649" t="s">
        <v>223</v>
      </c>
      <c r="E649" s="2">
        <v>1496</v>
      </c>
      <c r="F649" s="2">
        <v>300</v>
      </c>
      <c r="G649">
        <v>62832</v>
      </c>
      <c r="H649" s="2">
        <v>385968</v>
      </c>
      <c r="I649" s="2">
        <v>11968</v>
      </c>
      <c r="J649" s="3">
        <v>44253</v>
      </c>
      <c r="K649" t="s">
        <v>57</v>
      </c>
      <c r="L649" t="s">
        <v>29</v>
      </c>
      <c r="M649">
        <v>2022</v>
      </c>
      <c r="N649" t="s">
        <v>205</v>
      </c>
      <c r="O649" t="s">
        <v>65</v>
      </c>
      <c r="P649" t="s">
        <v>32</v>
      </c>
    </row>
    <row r="650" spans="1:16" x14ac:dyDescent="0.3">
      <c r="A650" t="s">
        <v>33</v>
      </c>
      <c r="B650" t="s">
        <v>288</v>
      </c>
      <c r="C650" t="s">
        <v>62</v>
      </c>
      <c r="D650" t="s">
        <v>223</v>
      </c>
      <c r="E650" s="2">
        <v>1010</v>
      </c>
      <c r="F650" s="2">
        <v>300</v>
      </c>
      <c r="G650">
        <v>42420</v>
      </c>
      <c r="H650" s="2">
        <v>260580</v>
      </c>
      <c r="I650" s="2">
        <v>8080</v>
      </c>
      <c r="J650" s="3">
        <v>44676</v>
      </c>
      <c r="K650" t="s">
        <v>67</v>
      </c>
      <c r="L650" t="s">
        <v>68</v>
      </c>
      <c r="M650">
        <v>2022</v>
      </c>
      <c r="N650" t="s">
        <v>159</v>
      </c>
      <c r="O650" t="s">
        <v>65</v>
      </c>
      <c r="P650" t="s">
        <v>49</v>
      </c>
    </row>
    <row r="651" spans="1:16" x14ac:dyDescent="0.3">
      <c r="A651" t="s">
        <v>25</v>
      </c>
      <c r="B651" t="s">
        <v>260</v>
      </c>
      <c r="C651" t="s">
        <v>62</v>
      </c>
      <c r="D651" t="s">
        <v>223</v>
      </c>
      <c r="E651" s="2">
        <v>1513</v>
      </c>
      <c r="F651" s="2">
        <v>15</v>
      </c>
      <c r="G651">
        <v>3177.3</v>
      </c>
      <c r="H651" s="2">
        <v>19517.7</v>
      </c>
      <c r="I651" s="2">
        <v>4387.7000000000007</v>
      </c>
      <c r="J651" s="3">
        <v>44251</v>
      </c>
      <c r="K651" t="s">
        <v>57</v>
      </c>
      <c r="L651" t="s">
        <v>29</v>
      </c>
      <c r="M651">
        <v>2022</v>
      </c>
      <c r="N651" t="s">
        <v>261</v>
      </c>
      <c r="O651" t="s">
        <v>65</v>
      </c>
      <c r="P651" t="s">
        <v>36</v>
      </c>
    </row>
    <row r="652" spans="1:16" x14ac:dyDescent="0.3">
      <c r="A652" t="s">
        <v>25</v>
      </c>
      <c r="B652" t="s">
        <v>233</v>
      </c>
      <c r="C652" t="s">
        <v>62</v>
      </c>
      <c r="D652" t="s">
        <v>223</v>
      </c>
      <c r="E652" s="2">
        <v>2300</v>
      </c>
      <c r="F652" s="2">
        <v>15</v>
      </c>
      <c r="G652">
        <v>4830</v>
      </c>
      <c r="H652" s="2">
        <v>29670</v>
      </c>
      <c r="I652" s="2">
        <v>6670</v>
      </c>
      <c r="J652" s="3">
        <v>44715</v>
      </c>
      <c r="K652" t="s">
        <v>146</v>
      </c>
      <c r="L652" t="s">
        <v>68</v>
      </c>
      <c r="M652">
        <v>2022</v>
      </c>
      <c r="N652" t="s">
        <v>234</v>
      </c>
      <c r="O652" t="s">
        <v>65</v>
      </c>
      <c r="P652" t="s">
        <v>32</v>
      </c>
    </row>
    <row r="653" spans="1:16" x14ac:dyDescent="0.3">
      <c r="A653" t="s">
        <v>37</v>
      </c>
      <c r="B653" t="s">
        <v>142</v>
      </c>
      <c r="C653" t="s">
        <v>18</v>
      </c>
      <c r="D653" t="s">
        <v>223</v>
      </c>
      <c r="E653" s="2">
        <v>2227.5</v>
      </c>
      <c r="F653" s="2">
        <v>350</v>
      </c>
      <c r="G653">
        <v>109147.5</v>
      </c>
      <c r="H653" s="2">
        <v>670477.5</v>
      </c>
      <c r="I653" s="2">
        <v>91327.5</v>
      </c>
      <c r="J653" s="3">
        <v>44329</v>
      </c>
      <c r="K653" t="s">
        <v>104</v>
      </c>
      <c r="L653" t="s">
        <v>68</v>
      </c>
      <c r="M653">
        <v>2022</v>
      </c>
      <c r="N653" t="s">
        <v>143</v>
      </c>
      <c r="O653" t="s">
        <v>23</v>
      </c>
      <c r="P653" t="s">
        <v>36</v>
      </c>
    </row>
    <row r="654" spans="1:16" x14ac:dyDescent="0.3">
      <c r="A654" t="s">
        <v>37</v>
      </c>
      <c r="B654" t="s">
        <v>130</v>
      </c>
      <c r="C654" t="s">
        <v>18</v>
      </c>
      <c r="D654" t="s">
        <v>223</v>
      </c>
      <c r="E654" s="2">
        <v>1199</v>
      </c>
      <c r="F654" s="2">
        <v>350</v>
      </c>
      <c r="G654">
        <v>58751</v>
      </c>
      <c r="H654" s="2">
        <v>360899</v>
      </c>
      <c r="I654" s="2">
        <v>49159</v>
      </c>
      <c r="J654" s="3">
        <v>44378</v>
      </c>
      <c r="K654" t="s">
        <v>44</v>
      </c>
      <c r="L654" t="s">
        <v>21</v>
      </c>
      <c r="M654">
        <v>2022</v>
      </c>
      <c r="N654" t="s">
        <v>131</v>
      </c>
      <c r="O654" t="s">
        <v>23</v>
      </c>
      <c r="P654" t="s">
        <v>46</v>
      </c>
    </row>
    <row r="655" spans="1:16" x14ac:dyDescent="0.3">
      <c r="A655" t="s">
        <v>37</v>
      </c>
      <c r="B655" t="s">
        <v>142</v>
      </c>
      <c r="C655" t="s">
        <v>18</v>
      </c>
      <c r="D655" t="s">
        <v>223</v>
      </c>
      <c r="E655" s="2">
        <v>200</v>
      </c>
      <c r="F655" s="2">
        <v>350</v>
      </c>
      <c r="G655">
        <v>9800</v>
      </c>
      <c r="H655" s="2">
        <v>60200</v>
      </c>
      <c r="I655" s="2">
        <v>8200</v>
      </c>
      <c r="J655" s="3">
        <v>44790</v>
      </c>
      <c r="K655" t="s">
        <v>39</v>
      </c>
      <c r="L655" t="s">
        <v>21</v>
      </c>
      <c r="M655">
        <v>2022</v>
      </c>
      <c r="N655" t="s">
        <v>143</v>
      </c>
      <c r="O655" t="s">
        <v>23</v>
      </c>
      <c r="P655" t="s">
        <v>36</v>
      </c>
    </row>
    <row r="656" spans="1:16" x14ac:dyDescent="0.3">
      <c r="A656" t="s">
        <v>37</v>
      </c>
      <c r="B656" t="s">
        <v>142</v>
      </c>
      <c r="C656" t="s">
        <v>18</v>
      </c>
      <c r="D656" t="s">
        <v>223</v>
      </c>
      <c r="E656" s="2">
        <v>388</v>
      </c>
      <c r="F656" s="2">
        <v>7</v>
      </c>
      <c r="G656">
        <v>380.24</v>
      </c>
      <c r="H656" s="2">
        <v>2335.7600000000002</v>
      </c>
      <c r="I656" s="2">
        <v>395.76000000000022</v>
      </c>
      <c r="J656" s="3">
        <v>44842</v>
      </c>
      <c r="K656" t="s">
        <v>85</v>
      </c>
      <c r="L656" t="s">
        <v>72</v>
      </c>
      <c r="M656">
        <v>2022</v>
      </c>
      <c r="N656" t="s">
        <v>143</v>
      </c>
      <c r="O656" t="s">
        <v>23</v>
      </c>
      <c r="P656" t="s">
        <v>36</v>
      </c>
    </row>
    <row r="657" spans="1:16" x14ac:dyDescent="0.3">
      <c r="A657" t="s">
        <v>25</v>
      </c>
      <c r="B657" t="s">
        <v>285</v>
      </c>
      <c r="C657" t="s">
        <v>18</v>
      </c>
      <c r="D657" t="s">
        <v>223</v>
      </c>
      <c r="E657" s="2">
        <v>2300</v>
      </c>
      <c r="F657" s="2">
        <v>15</v>
      </c>
      <c r="G657">
        <v>4830</v>
      </c>
      <c r="H657" s="2">
        <v>29670</v>
      </c>
      <c r="I657" s="2">
        <v>6670</v>
      </c>
      <c r="J657" s="3">
        <v>44596</v>
      </c>
      <c r="K657" t="s">
        <v>57</v>
      </c>
      <c r="L657" t="s">
        <v>29</v>
      </c>
      <c r="M657">
        <v>2022</v>
      </c>
      <c r="N657" t="s">
        <v>261</v>
      </c>
      <c r="O657" t="s">
        <v>23</v>
      </c>
      <c r="P657" t="s">
        <v>36</v>
      </c>
    </row>
    <row r="658" spans="1:16" x14ac:dyDescent="0.3">
      <c r="A658" t="s">
        <v>37</v>
      </c>
      <c r="B658" t="s">
        <v>136</v>
      </c>
      <c r="C658" t="s">
        <v>27</v>
      </c>
      <c r="D658" t="s">
        <v>223</v>
      </c>
      <c r="E658" s="2">
        <v>260</v>
      </c>
      <c r="F658" s="2">
        <v>20</v>
      </c>
      <c r="G658">
        <v>728</v>
      </c>
      <c r="H658" s="2">
        <v>4472</v>
      </c>
      <c r="I658" s="2">
        <v>1872</v>
      </c>
      <c r="J658" s="3">
        <v>44462</v>
      </c>
      <c r="K658" t="s">
        <v>20</v>
      </c>
      <c r="L658" t="s">
        <v>21</v>
      </c>
      <c r="M658">
        <v>2022</v>
      </c>
      <c r="N658" t="s">
        <v>137</v>
      </c>
      <c r="O658" t="s">
        <v>31</v>
      </c>
      <c r="P658" t="s">
        <v>60</v>
      </c>
    </row>
    <row r="659" spans="1:16" x14ac:dyDescent="0.3">
      <c r="A659" t="s">
        <v>42</v>
      </c>
      <c r="B659" t="s">
        <v>43</v>
      </c>
      <c r="C659" t="s">
        <v>27</v>
      </c>
      <c r="D659" t="s">
        <v>223</v>
      </c>
      <c r="E659" s="2">
        <v>2914</v>
      </c>
      <c r="F659" s="2">
        <v>12</v>
      </c>
      <c r="G659">
        <v>4895.5200000000004</v>
      </c>
      <c r="H659" s="2">
        <v>30072.48</v>
      </c>
      <c r="I659" s="2">
        <v>21330.48</v>
      </c>
      <c r="J659" s="3">
        <v>44891</v>
      </c>
      <c r="K659" t="s">
        <v>71</v>
      </c>
      <c r="L659" t="s">
        <v>72</v>
      </c>
      <c r="M659">
        <v>2022</v>
      </c>
      <c r="N659" t="s">
        <v>45</v>
      </c>
      <c r="O659" t="s">
        <v>31</v>
      </c>
      <c r="P659" t="s">
        <v>46</v>
      </c>
    </row>
    <row r="660" spans="1:16" x14ac:dyDescent="0.3">
      <c r="A660" t="s">
        <v>37</v>
      </c>
      <c r="B660" t="s">
        <v>162</v>
      </c>
      <c r="C660" t="s">
        <v>27</v>
      </c>
      <c r="D660" t="s">
        <v>223</v>
      </c>
      <c r="E660" s="2">
        <v>1731</v>
      </c>
      <c r="F660" s="2">
        <v>7</v>
      </c>
      <c r="G660">
        <v>1696.38</v>
      </c>
      <c r="H660" s="2">
        <v>10420.619999999999</v>
      </c>
      <c r="I660" s="2">
        <v>1765.619999999999</v>
      </c>
      <c r="J660" s="3">
        <v>44547</v>
      </c>
      <c r="K660" t="s">
        <v>75</v>
      </c>
      <c r="L660" t="s">
        <v>72</v>
      </c>
      <c r="M660">
        <v>2022</v>
      </c>
      <c r="N660" t="s">
        <v>163</v>
      </c>
      <c r="O660" t="s">
        <v>31</v>
      </c>
      <c r="P660" t="s">
        <v>41</v>
      </c>
    </row>
    <row r="661" spans="1:16" x14ac:dyDescent="0.3">
      <c r="A661" t="s">
        <v>37</v>
      </c>
      <c r="B661" t="s">
        <v>38</v>
      </c>
      <c r="C661" t="s">
        <v>27</v>
      </c>
      <c r="D661" t="s">
        <v>223</v>
      </c>
      <c r="E661" s="2">
        <v>700</v>
      </c>
      <c r="F661" s="2">
        <v>350</v>
      </c>
      <c r="G661">
        <v>34300</v>
      </c>
      <c r="H661" s="2">
        <v>210700</v>
      </c>
      <c r="I661" s="2">
        <v>28700</v>
      </c>
      <c r="J661" s="3">
        <v>44387</v>
      </c>
      <c r="K661" t="s">
        <v>44</v>
      </c>
      <c r="L661" t="s">
        <v>21</v>
      </c>
      <c r="M661">
        <v>2022</v>
      </c>
      <c r="N661" t="s">
        <v>40</v>
      </c>
      <c r="O661" t="s">
        <v>31</v>
      </c>
      <c r="P661" t="s">
        <v>41</v>
      </c>
    </row>
    <row r="662" spans="1:16" x14ac:dyDescent="0.3">
      <c r="A662" t="s">
        <v>37</v>
      </c>
      <c r="B662" t="s">
        <v>110</v>
      </c>
      <c r="C662" t="s">
        <v>27</v>
      </c>
      <c r="D662" t="s">
        <v>223</v>
      </c>
      <c r="E662" s="2">
        <v>1177</v>
      </c>
      <c r="F662" s="2">
        <v>350</v>
      </c>
      <c r="G662">
        <v>57673</v>
      </c>
      <c r="H662" s="2">
        <v>354277</v>
      </c>
      <c r="I662" s="2">
        <v>48257</v>
      </c>
      <c r="J662" s="3">
        <v>44543</v>
      </c>
      <c r="K662" t="s">
        <v>75</v>
      </c>
      <c r="L662" t="s">
        <v>72</v>
      </c>
      <c r="M662">
        <v>2022</v>
      </c>
      <c r="N662" t="s">
        <v>111</v>
      </c>
      <c r="O662" t="s">
        <v>31</v>
      </c>
      <c r="P662" t="s">
        <v>36</v>
      </c>
    </row>
    <row r="663" spans="1:16" x14ac:dyDescent="0.3">
      <c r="A663" t="s">
        <v>16</v>
      </c>
      <c r="B663" t="s">
        <v>116</v>
      </c>
      <c r="C663" t="s">
        <v>51</v>
      </c>
      <c r="D663" t="s">
        <v>223</v>
      </c>
      <c r="E663" s="2">
        <v>1575</v>
      </c>
      <c r="F663" s="2">
        <v>125</v>
      </c>
      <c r="G663">
        <v>27562.5</v>
      </c>
      <c r="H663" s="2">
        <v>169312.5</v>
      </c>
      <c r="I663" s="2">
        <v>-19687.5</v>
      </c>
      <c r="J663" s="3">
        <v>44842</v>
      </c>
      <c r="K663" t="s">
        <v>85</v>
      </c>
      <c r="L663" t="s">
        <v>72</v>
      </c>
      <c r="M663">
        <v>2022</v>
      </c>
      <c r="N663" t="s">
        <v>117</v>
      </c>
      <c r="O663" t="s">
        <v>53</v>
      </c>
      <c r="P663" t="s">
        <v>49</v>
      </c>
    </row>
    <row r="664" spans="1:16" x14ac:dyDescent="0.3">
      <c r="A664" t="s">
        <v>37</v>
      </c>
      <c r="B664" t="s">
        <v>138</v>
      </c>
      <c r="C664" t="s">
        <v>51</v>
      </c>
      <c r="D664" t="s">
        <v>223</v>
      </c>
      <c r="E664" s="2">
        <v>606</v>
      </c>
      <c r="F664" s="2">
        <v>20</v>
      </c>
      <c r="G664">
        <v>1696.8000000000002</v>
      </c>
      <c r="H664" s="2">
        <v>10423.200000000001</v>
      </c>
      <c r="I664" s="2">
        <v>4363.2000000000007</v>
      </c>
      <c r="J664" s="3">
        <v>44818</v>
      </c>
      <c r="K664" t="s">
        <v>20</v>
      </c>
      <c r="L664" t="s">
        <v>21</v>
      </c>
      <c r="M664">
        <v>2022</v>
      </c>
      <c r="N664" t="s">
        <v>139</v>
      </c>
      <c r="O664" t="s">
        <v>53</v>
      </c>
      <c r="P664" t="s">
        <v>24</v>
      </c>
    </row>
    <row r="665" spans="1:16" x14ac:dyDescent="0.3">
      <c r="A665" t="s">
        <v>33</v>
      </c>
      <c r="B665" t="s">
        <v>227</v>
      </c>
      <c r="C665" t="s">
        <v>51</v>
      </c>
      <c r="D665" t="s">
        <v>223</v>
      </c>
      <c r="E665" s="2">
        <v>2460</v>
      </c>
      <c r="F665" s="2">
        <v>300</v>
      </c>
      <c r="G665">
        <v>103320</v>
      </c>
      <c r="H665" s="2">
        <v>634680</v>
      </c>
      <c r="I665" s="2">
        <v>19680</v>
      </c>
      <c r="J665" s="3">
        <v>44216</v>
      </c>
      <c r="K665" t="s">
        <v>28</v>
      </c>
      <c r="L665" t="s">
        <v>29</v>
      </c>
      <c r="M665">
        <v>2022</v>
      </c>
      <c r="N665" t="s">
        <v>159</v>
      </c>
      <c r="O665" t="s">
        <v>53</v>
      </c>
      <c r="P665" t="s">
        <v>49</v>
      </c>
    </row>
    <row r="666" spans="1:16" x14ac:dyDescent="0.3">
      <c r="A666" t="s">
        <v>37</v>
      </c>
      <c r="B666" t="s">
        <v>124</v>
      </c>
      <c r="C666" t="s">
        <v>56</v>
      </c>
      <c r="D666" t="s">
        <v>223</v>
      </c>
      <c r="E666" s="2">
        <v>2903</v>
      </c>
      <c r="F666" s="2">
        <v>7</v>
      </c>
      <c r="G666">
        <v>2844.94</v>
      </c>
      <c r="H666" s="2">
        <v>17476.060000000001</v>
      </c>
      <c r="I666" s="2">
        <v>2961.0600000000013</v>
      </c>
      <c r="J666" s="3">
        <v>44599</v>
      </c>
      <c r="K666" t="s">
        <v>57</v>
      </c>
      <c r="L666" t="s">
        <v>29</v>
      </c>
      <c r="M666">
        <v>2022</v>
      </c>
      <c r="N666" t="s">
        <v>125</v>
      </c>
      <c r="O666" t="s">
        <v>59</v>
      </c>
      <c r="P666" t="s">
        <v>32</v>
      </c>
    </row>
    <row r="667" spans="1:16" x14ac:dyDescent="0.3">
      <c r="A667" t="s">
        <v>33</v>
      </c>
      <c r="B667" t="s">
        <v>206</v>
      </c>
      <c r="C667" t="s">
        <v>56</v>
      </c>
      <c r="D667" t="s">
        <v>223</v>
      </c>
      <c r="E667" s="2">
        <v>2541</v>
      </c>
      <c r="F667" s="2">
        <v>300</v>
      </c>
      <c r="G667">
        <v>106722</v>
      </c>
      <c r="H667" s="2">
        <v>655578</v>
      </c>
      <c r="I667" s="2">
        <v>20328</v>
      </c>
      <c r="J667" s="3">
        <v>44386</v>
      </c>
      <c r="K667" t="s">
        <v>44</v>
      </c>
      <c r="L667" t="s">
        <v>21</v>
      </c>
      <c r="M667">
        <v>2022</v>
      </c>
      <c r="N667" t="s">
        <v>207</v>
      </c>
      <c r="O667" t="s">
        <v>59</v>
      </c>
      <c r="P667" t="s">
        <v>36</v>
      </c>
    </row>
    <row r="668" spans="1:16" x14ac:dyDescent="0.3">
      <c r="A668" t="s">
        <v>33</v>
      </c>
      <c r="B668" t="s">
        <v>183</v>
      </c>
      <c r="C668" t="s">
        <v>56</v>
      </c>
      <c r="D668" t="s">
        <v>223</v>
      </c>
      <c r="E668" s="2">
        <v>1496</v>
      </c>
      <c r="F668" s="2">
        <v>300</v>
      </c>
      <c r="G668">
        <v>62832</v>
      </c>
      <c r="H668" s="2">
        <v>385968</v>
      </c>
      <c r="I668" s="2">
        <v>11968</v>
      </c>
      <c r="J668" s="3">
        <v>44798</v>
      </c>
      <c r="K668" t="s">
        <v>39</v>
      </c>
      <c r="L668" t="s">
        <v>21</v>
      </c>
      <c r="M668">
        <v>2022</v>
      </c>
      <c r="N668" t="s">
        <v>184</v>
      </c>
      <c r="O668" t="s">
        <v>59</v>
      </c>
      <c r="P668" t="s">
        <v>54</v>
      </c>
    </row>
    <row r="669" spans="1:16" x14ac:dyDescent="0.3">
      <c r="A669" t="s">
        <v>33</v>
      </c>
      <c r="B669" t="s">
        <v>206</v>
      </c>
      <c r="C669" t="s">
        <v>56</v>
      </c>
      <c r="D669" t="s">
        <v>223</v>
      </c>
      <c r="E669" s="2">
        <v>1010</v>
      </c>
      <c r="F669" s="2">
        <v>300</v>
      </c>
      <c r="G669">
        <v>42420</v>
      </c>
      <c r="H669" s="2">
        <v>260580</v>
      </c>
      <c r="I669" s="2">
        <v>8080</v>
      </c>
      <c r="J669" s="3">
        <v>44697</v>
      </c>
      <c r="K669" t="s">
        <v>104</v>
      </c>
      <c r="L669" t="s">
        <v>68</v>
      </c>
      <c r="M669">
        <v>2022</v>
      </c>
      <c r="N669" t="s">
        <v>207</v>
      </c>
      <c r="O669" t="s">
        <v>59</v>
      </c>
      <c r="P669" t="s">
        <v>36</v>
      </c>
    </row>
    <row r="670" spans="1:16" x14ac:dyDescent="0.3">
      <c r="A670" t="s">
        <v>33</v>
      </c>
      <c r="B670" t="s">
        <v>282</v>
      </c>
      <c r="C670" t="s">
        <v>90</v>
      </c>
      <c r="D670" t="s">
        <v>223</v>
      </c>
      <c r="E670" s="2">
        <v>888</v>
      </c>
      <c r="F670" s="2">
        <v>300</v>
      </c>
      <c r="G670">
        <v>37296</v>
      </c>
      <c r="H670" s="2">
        <v>229104</v>
      </c>
      <c r="I670" s="2">
        <v>7104</v>
      </c>
      <c r="J670" s="3">
        <v>44506</v>
      </c>
      <c r="K670" t="s">
        <v>71</v>
      </c>
      <c r="L670" t="s">
        <v>72</v>
      </c>
      <c r="M670">
        <v>2022</v>
      </c>
      <c r="N670" t="s">
        <v>257</v>
      </c>
      <c r="O670" t="s">
        <v>92</v>
      </c>
      <c r="P670" t="s">
        <v>60</v>
      </c>
    </row>
    <row r="671" spans="1:16" x14ac:dyDescent="0.3">
      <c r="A671" t="s">
        <v>16</v>
      </c>
      <c r="B671" t="s">
        <v>302</v>
      </c>
      <c r="C671" t="s">
        <v>90</v>
      </c>
      <c r="D671" t="s">
        <v>223</v>
      </c>
      <c r="E671" s="2">
        <v>2844</v>
      </c>
      <c r="F671" s="2">
        <v>125</v>
      </c>
      <c r="G671">
        <v>49770</v>
      </c>
      <c r="H671" s="2">
        <v>305730</v>
      </c>
      <c r="I671" s="2">
        <v>-35550</v>
      </c>
      <c r="J671" s="3">
        <v>44458</v>
      </c>
      <c r="K671" t="s">
        <v>20</v>
      </c>
      <c r="L671" t="s">
        <v>21</v>
      </c>
      <c r="M671">
        <v>2022</v>
      </c>
      <c r="N671" t="s">
        <v>209</v>
      </c>
      <c r="O671" t="s">
        <v>92</v>
      </c>
      <c r="P671" t="s">
        <v>41</v>
      </c>
    </row>
    <row r="672" spans="1:16" x14ac:dyDescent="0.3">
      <c r="A672" t="s">
        <v>42</v>
      </c>
      <c r="B672" t="s">
        <v>220</v>
      </c>
      <c r="C672" t="s">
        <v>90</v>
      </c>
      <c r="D672" t="s">
        <v>223</v>
      </c>
      <c r="E672" s="2">
        <v>2475</v>
      </c>
      <c r="F672" s="2">
        <v>12</v>
      </c>
      <c r="G672">
        <v>4158</v>
      </c>
      <c r="H672" s="2">
        <v>25542</v>
      </c>
      <c r="I672" s="2">
        <v>18117</v>
      </c>
      <c r="J672" s="3">
        <v>44357</v>
      </c>
      <c r="K672" t="s">
        <v>146</v>
      </c>
      <c r="L672" t="s">
        <v>68</v>
      </c>
      <c r="M672">
        <v>2022</v>
      </c>
      <c r="N672" t="s">
        <v>221</v>
      </c>
      <c r="O672" t="s">
        <v>92</v>
      </c>
      <c r="P672" t="s">
        <v>36</v>
      </c>
    </row>
    <row r="673" spans="1:16" x14ac:dyDescent="0.3">
      <c r="A673" t="s">
        <v>42</v>
      </c>
      <c r="B673" t="s">
        <v>89</v>
      </c>
      <c r="C673" t="s">
        <v>90</v>
      </c>
      <c r="D673" t="s">
        <v>223</v>
      </c>
      <c r="E673" s="2">
        <v>2914</v>
      </c>
      <c r="F673" s="2">
        <v>12</v>
      </c>
      <c r="G673">
        <v>4895.5200000000004</v>
      </c>
      <c r="H673" s="2">
        <v>30072.48</v>
      </c>
      <c r="I673" s="2">
        <v>21330.48</v>
      </c>
      <c r="J673" s="3">
        <v>44728</v>
      </c>
      <c r="K673" t="s">
        <v>146</v>
      </c>
      <c r="L673" t="s">
        <v>68</v>
      </c>
      <c r="M673">
        <v>2022</v>
      </c>
      <c r="N673" t="s">
        <v>91</v>
      </c>
      <c r="O673" t="s">
        <v>92</v>
      </c>
      <c r="P673" t="s">
        <v>32</v>
      </c>
    </row>
    <row r="674" spans="1:16" x14ac:dyDescent="0.3">
      <c r="A674" t="s">
        <v>37</v>
      </c>
      <c r="B674" t="s">
        <v>187</v>
      </c>
      <c r="C674" t="s">
        <v>90</v>
      </c>
      <c r="D674" t="s">
        <v>223</v>
      </c>
      <c r="E674" s="2">
        <v>1731</v>
      </c>
      <c r="F674" s="2">
        <v>7</v>
      </c>
      <c r="G674">
        <v>1696.38</v>
      </c>
      <c r="H674" s="2">
        <v>10420.619999999999</v>
      </c>
      <c r="I674" s="2">
        <v>1765.619999999999</v>
      </c>
      <c r="J674" s="3">
        <v>44304</v>
      </c>
      <c r="K674" t="s">
        <v>67</v>
      </c>
      <c r="L674" t="s">
        <v>68</v>
      </c>
      <c r="M674">
        <v>2022</v>
      </c>
      <c r="N674" t="s">
        <v>188</v>
      </c>
      <c r="O674" t="s">
        <v>92</v>
      </c>
      <c r="P674" t="s">
        <v>24</v>
      </c>
    </row>
    <row r="675" spans="1:16" x14ac:dyDescent="0.3">
      <c r="A675" t="s">
        <v>16</v>
      </c>
      <c r="B675" t="s">
        <v>225</v>
      </c>
      <c r="C675" t="s">
        <v>62</v>
      </c>
      <c r="D675" t="s">
        <v>223</v>
      </c>
      <c r="E675" s="2">
        <v>1174</v>
      </c>
      <c r="F675" s="2">
        <v>125</v>
      </c>
      <c r="G675">
        <v>22012.5</v>
      </c>
      <c r="H675" s="2">
        <v>124737.5</v>
      </c>
      <c r="I675" s="2">
        <v>-16142.5</v>
      </c>
      <c r="J675" s="3">
        <v>44714</v>
      </c>
      <c r="K675" t="s">
        <v>146</v>
      </c>
      <c r="L675" t="s">
        <v>68</v>
      </c>
      <c r="M675">
        <v>2022</v>
      </c>
      <c r="N675" t="s">
        <v>226</v>
      </c>
      <c r="O675" t="s">
        <v>65</v>
      </c>
      <c r="P675" t="s">
        <v>46</v>
      </c>
    </row>
    <row r="676" spans="1:16" x14ac:dyDescent="0.3">
      <c r="A676" t="s">
        <v>16</v>
      </c>
      <c r="B676" t="s">
        <v>174</v>
      </c>
      <c r="C676" t="s">
        <v>62</v>
      </c>
      <c r="D676" t="s">
        <v>223</v>
      </c>
      <c r="E676" s="2">
        <v>2767</v>
      </c>
      <c r="F676" s="2">
        <v>125</v>
      </c>
      <c r="G676">
        <v>51881.25</v>
      </c>
      <c r="H676" s="2">
        <v>293993.75</v>
      </c>
      <c r="I676" s="2">
        <v>-38046.25</v>
      </c>
      <c r="J676" s="3">
        <v>44926</v>
      </c>
      <c r="K676" t="s">
        <v>75</v>
      </c>
      <c r="L676" t="s">
        <v>72</v>
      </c>
      <c r="M676">
        <v>2022</v>
      </c>
      <c r="N676" t="s">
        <v>175</v>
      </c>
      <c r="O676" t="s">
        <v>65</v>
      </c>
      <c r="P676" t="s">
        <v>32</v>
      </c>
    </row>
    <row r="677" spans="1:16" x14ac:dyDescent="0.3">
      <c r="A677" t="s">
        <v>16</v>
      </c>
      <c r="B677" t="s">
        <v>174</v>
      </c>
      <c r="C677" t="s">
        <v>62</v>
      </c>
      <c r="D677" t="s">
        <v>223</v>
      </c>
      <c r="E677" s="2">
        <v>1085</v>
      </c>
      <c r="F677" s="2">
        <v>125</v>
      </c>
      <c r="G677">
        <v>20343.75</v>
      </c>
      <c r="H677" s="2">
        <v>115281.25</v>
      </c>
      <c r="I677" s="2">
        <v>-14918.75</v>
      </c>
      <c r="J677" s="3">
        <v>44730</v>
      </c>
      <c r="K677" t="s">
        <v>146</v>
      </c>
      <c r="L677" t="s">
        <v>68</v>
      </c>
      <c r="M677">
        <v>2022</v>
      </c>
      <c r="N677" t="s">
        <v>175</v>
      </c>
      <c r="O677" t="s">
        <v>65</v>
      </c>
      <c r="P677" t="s">
        <v>32</v>
      </c>
    </row>
    <row r="678" spans="1:16" x14ac:dyDescent="0.3">
      <c r="A678" t="s">
        <v>33</v>
      </c>
      <c r="B678" t="s">
        <v>158</v>
      </c>
      <c r="C678" t="s">
        <v>18</v>
      </c>
      <c r="D678" t="s">
        <v>223</v>
      </c>
      <c r="E678" s="2">
        <v>546</v>
      </c>
      <c r="F678" s="2">
        <v>300</v>
      </c>
      <c r="G678">
        <v>24570</v>
      </c>
      <c r="H678" s="2">
        <v>139230</v>
      </c>
      <c r="I678" s="2">
        <v>2730</v>
      </c>
      <c r="J678" s="3">
        <v>44575</v>
      </c>
      <c r="K678" t="s">
        <v>28</v>
      </c>
      <c r="L678" t="s">
        <v>29</v>
      </c>
      <c r="M678">
        <v>2022</v>
      </c>
      <c r="N678" t="s">
        <v>159</v>
      </c>
      <c r="O678" t="s">
        <v>23</v>
      </c>
      <c r="P678" t="s">
        <v>32</v>
      </c>
    </row>
    <row r="679" spans="1:16" x14ac:dyDescent="0.3">
      <c r="A679" t="s">
        <v>37</v>
      </c>
      <c r="B679" t="s">
        <v>200</v>
      </c>
      <c r="C679" t="s">
        <v>27</v>
      </c>
      <c r="D679" t="s">
        <v>223</v>
      </c>
      <c r="E679" s="2">
        <v>1158</v>
      </c>
      <c r="F679" s="2">
        <v>20</v>
      </c>
      <c r="G679">
        <v>3474</v>
      </c>
      <c r="H679" s="2">
        <v>19686</v>
      </c>
      <c r="I679" s="2">
        <v>8106</v>
      </c>
      <c r="J679" s="3">
        <v>44699</v>
      </c>
      <c r="K679" t="s">
        <v>104</v>
      </c>
      <c r="L679" t="s">
        <v>68</v>
      </c>
      <c r="M679">
        <v>2022</v>
      </c>
      <c r="N679" t="s">
        <v>201</v>
      </c>
      <c r="O679" t="s">
        <v>31</v>
      </c>
      <c r="P679" t="s">
        <v>60</v>
      </c>
    </row>
    <row r="680" spans="1:16" x14ac:dyDescent="0.3">
      <c r="A680" t="s">
        <v>25</v>
      </c>
      <c r="B680" t="s">
        <v>47</v>
      </c>
      <c r="C680" t="s">
        <v>27</v>
      </c>
      <c r="D680" t="s">
        <v>223</v>
      </c>
      <c r="E680" s="2">
        <v>1614</v>
      </c>
      <c r="F680" s="2">
        <v>15</v>
      </c>
      <c r="G680">
        <v>3631.5</v>
      </c>
      <c r="H680" s="2">
        <v>20578.5</v>
      </c>
      <c r="I680" s="2">
        <v>4438.5</v>
      </c>
      <c r="J680" s="3">
        <v>44844</v>
      </c>
      <c r="K680" t="s">
        <v>85</v>
      </c>
      <c r="L680" t="s">
        <v>72</v>
      </c>
      <c r="M680">
        <v>2022</v>
      </c>
      <c r="N680" t="s">
        <v>48</v>
      </c>
      <c r="O680" t="s">
        <v>31</v>
      </c>
      <c r="P680" t="s">
        <v>49</v>
      </c>
    </row>
    <row r="681" spans="1:16" x14ac:dyDescent="0.3">
      <c r="A681" t="s">
        <v>37</v>
      </c>
      <c r="B681" t="s">
        <v>136</v>
      </c>
      <c r="C681" t="s">
        <v>27</v>
      </c>
      <c r="D681" t="s">
        <v>223</v>
      </c>
      <c r="E681" s="2">
        <v>2535</v>
      </c>
      <c r="F681" s="2">
        <v>7</v>
      </c>
      <c r="G681">
        <v>2661.75</v>
      </c>
      <c r="H681" s="2">
        <v>15083.25</v>
      </c>
      <c r="I681" s="2">
        <v>2408.25</v>
      </c>
      <c r="J681" s="3">
        <v>44641</v>
      </c>
      <c r="K681" t="s">
        <v>82</v>
      </c>
      <c r="L681" t="s">
        <v>29</v>
      </c>
      <c r="M681">
        <v>2022</v>
      </c>
      <c r="N681" t="s">
        <v>137</v>
      </c>
      <c r="O681" t="s">
        <v>31</v>
      </c>
      <c r="P681" t="s">
        <v>60</v>
      </c>
    </row>
    <row r="682" spans="1:16" x14ac:dyDescent="0.3">
      <c r="A682" t="s">
        <v>37</v>
      </c>
      <c r="B682" t="s">
        <v>136</v>
      </c>
      <c r="C682" t="s">
        <v>27</v>
      </c>
      <c r="D682" t="s">
        <v>223</v>
      </c>
      <c r="E682" s="2">
        <v>2851</v>
      </c>
      <c r="F682" s="2">
        <v>350</v>
      </c>
      <c r="G682">
        <v>149677.5</v>
      </c>
      <c r="H682" s="2">
        <v>848172.5</v>
      </c>
      <c r="I682" s="2">
        <v>106912.5</v>
      </c>
      <c r="J682" s="3">
        <v>44268</v>
      </c>
      <c r="K682" t="s">
        <v>82</v>
      </c>
      <c r="L682" t="s">
        <v>29</v>
      </c>
      <c r="M682">
        <v>2022</v>
      </c>
      <c r="N682" t="s">
        <v>137</v>
      </c>
      <c r="O682" t="s">
        <v>31</v>
      </c>
      <c r="P682" t="s">
        <v>60</v>
      </c>
    </row>
    <row r="683" spans="1:16" x14ac:dyDescent="0.3">
      <c r="A683" t="s">
        <v>25</v>
      </c>
      <c r="B683" t="s">
        <v>47</v>
      </c>
      <c r="C683" t="s">
        <v>27</v>
      </c>
      <c r="D683" t="s">
        <v>223</v>
      </c>
      <c r="E683" s="2">
        <v>2559</v>
      </c>
      <c r="F683" s="2">
        <v>15</v>
      </c>
      <c r="G683">
        <v>5757.75</v>
      </c>
      <c r="H683" s="2">
        <v>32627.25</v>
      </c>
      <c r="I683" s="2">
        <v>7037.25</v>
      </c>
      <c r="J683" s="3">
        <v>44840</v>
      </c>
      <c r="K683" t="s">
        <v>85</v>
      </c>
      <c r="L683" t="s">
        <v>72</v>
      </c>
      <c r="M683">
        <v>2022</v>
      </c>
      <c r="N683" t="s">
        <v>48</v>
      </c>
      <c r="O683" t="s">
        <v>31</v>
      </c>
      <c r="P683" t="s">
        <v>49</v>
      </c>
    </row>
    <row r="684" spans="1:16" x14ac:dyDescent="0.3">
      <c r="A684" t="s">
        <v>16</v>
      </c>
      <c r="B684" t="s">
        <v>101</v>
      </c>
      <c r="C684" t="s">
        <v>27</v>
      </c>
      <c r="D684" t="s">
        <v>223</v>
      </c>
      <c r="E684" s="2">
        <v>1085</v>
      </c>
      <c r="F684" s="2">
        <v>125</v>
      </c>
      <c r="G684">
        <v>20343.75</v>
      </c>
      <c r="H684" s="2">
        <v>115281.25</v>
      </c>
      <c r="I684" s="2">
        <v>-14918.75</v>
      </c>
      <c r="J684" s="3">
        <v>44560</v>
      </c>
      <c r="K684" t="s">
        <v>75</v>
      </c>
      <c r="L684" t="s">
        <v>72</v>
      </c>
      <c r="M684">
        <v>2022</v>
      </c>
      <c r="N684" t="s">
        <v>102</v>
      </c>
      <c r="O684" t="s">
        <v>31</v>
      </c>
      <c r="P684" t="s">
        <v>54</v>
      </c>
    </row>
    <row r="685" spans="1:16" x14ac:dyDescent="0.3">
      <c r="A685" t="s">
        <v>25</v>
      </c>
      <c r="B685" t="s">
        <v>132</v>
      </c>
      <c r="C685" t="s">
        <v>27</v>
      </c>
      <c r="D685" t="s">
        <v>223</v>
      </c>
      <c r="E685" s="2">
        <v>1175</v>
      </c>
      <c r="F685" s="2">
        <v>15</v>
      </c>
      <c r="G685">
        <v>2643.75</v>
      </c>
      <c r="H685" s="2">
        <v>14981.25</v>
      </c>
      <c r="I685" s="2">
        <v>3231.25</v>
      </c>
      <c r="J685" s="3">
        <v>44393</v>
      </c>
      <c r="K685" t="s">
        <v>44</v>
      </c>
      <c r="L685" t="s">
        <v>21</v>
      </c>
      <c r="M685">
        <v>2022</v>
      </c>
      <c r="N685" t="s">
        <v>133</v>
      </c>
      <c r="O685" t="s">
        <v>31</v>
      </c>
      <c r="P685" t="s">
        <v>49</v>
      </c>
    </row>
    <row r="686" spans="1:16" x14ac:dyDescent="0.3">
      <c r="A686" t="s">
        <v>42</v>
      </c>
      <c r="B686" t="s">
        <v>43</v>
      </c>
      <c r="C686" t="s">
        <v>27</v>
      </c>
      <c r="D686" t="s">
        <v>223</v>
      </c>
      <c r="E686" s="2">
        <v>914</v>
      </c>
      <c r="F686" s="2">
        <v>12</v>
      </c>
      <c r="G686">
        <v>1645.2</v>
      </c>
      <c r="H686" s="2">
        <v>9322.7999999999993</v>
      </c>
      <c r="I686" s="2">
        <v>6580.7999999999993</v>
      </c>
      <c r="J686" s="3">
        <v>44516</v>
      </c>
      <c r="K686" t="s">
        <v>71</v>
      </c>
      <c r="L686" t="s">
        <v>72</v>
      </c>
      <c r="M686">
        <v>2022</v>
      </c>
      <c r="N686" t="s">
        <v>45</v>
      </c>
      <c r="O686" t="s">
        <v>31</v>
      </c>
      <c r="P686" t="s">
        <v>46</v>
      </c>
    </row>
    <row r="687" spans="1:16" x14ac:dyDescent="0.3">
      <c r="A687" t="s">
        <v>37</v>
      </c>
      <c r="B687" t="s">
        <v>162</v>
      </c>
      <c r="C687" t="s">
        <v>27</v>
      </c>
      <c r="D687" t="s">
        <v>223</v>
      </c>
      <c r="E687" s="2">
        <v>293</v>
      </c>
      <c r="F687" s="2">
        <v>20</v>
      </c>
      <c r="G687">
        <v>879</v>
      </c>
      <c r="H687" s="2">
        <v>4981</v>
      </c>
      <c r="I687" s="2">
        <v>2051</v>
      </c>
      <c r="J687" s="3">
        <v>44484</v>
      </c>
      <c r="K687" t="s">
        <v>85</v>
      </c>
      <c r="L687" t="s">
        <v>72</v>
      </c>
      <c r="M687">
        <v>2022</v>
      </c>
      <c r="N687" t="s">
        <v>163</v>
      </c>
      <c r="O687" t="s">
        <v>31</v>
      </c>
      <c r="P687" t="s">
        <v>41</v>
      </c>
    </row>
    <row r="688" spans="1:16" x14ac:dyDescent="0.3">
      <c r="A688" t="s">
        <v>42</v>
      </c>
      <c r="B688" t="s">
        <v>278</v>
      </c>
      <c r="C688" t="s">
        <v>51</v>
      </c>
      <c r="D688" t="s">
        <v>223</v>
      </c>
      <c r="E688" s="2">
        <v>500</v>
      </c>
      <c r="F688" s="2">
        <v>12</v>
      </c>
      <c r="G688">
        <v>900</v>
      </c>
      <c r="H688" s="2">
        <v>5100</v>
      </c>
      <c r="I688" s="2">
        <v>3600</v>
      </c>
      <c r="J688" s="3">
        <v>44599</v>
      </c>
      <c r="K688" t="s">
        <v>57</v>
      </c>
      <c r="L688" t="s">
        <v>29</v>
      </c>
      <c r="M688">
        <v>2022</v>
      </c>
      <c r="N688" t="s">
        <v>209</v>
      </c>
      <c r="O688" t="s">
        <v>53</v>
      </c>
      <c r="P688" t="s">
        <v>41</v>
      </c>
    </row>
    <row r="689" spans="1:16" x14ac:dyDescent="0.3">
      <c r="A689" t="s">
        <v>25</v>
      </c>
      <c r="B689" t="s">
        <v>304</v>
      </c>
      <c r="C689" t="s">
        <v>51</v>
      </c>
      <c r="D689" t="s">
        <v>223</v>
      </c>
      <c r="E689" s="2">
        <v>2826</v>
      </c>
      <c r="F689" s="2">
        <v>15</v>
      </c>
      <c r="G689">
        <v>6358.5</v>
      </c>
      <c r="H689" s="2">
        <v>36031.5</v>
      </c>
      <c r="I689" s="2">
        <v>7771.5</v>
      </c>
      <c r="J689" s="3">
        <v>44878</v>
      </c>
      <c r="K689" t="s">
        <v>71</v>
      </c>
      <c r="L689" t="s">
        <v>72</v>
      </c>
      <c r="M689">
        <v>2022</v>
      </c>
      <c r="N689" t="s">
        <v>253</v>
      </c>
      <c r="O689" t="s">
        <v>53</v>
      </c>
      <c r="P689" t="s">
        <v>49</v>
      </c>
    </row>
    <row r="690" spans="1:16" x14ac:dyDescent="0.3">
      <c r="A690" t="s">
        <v>16</v>
      </c>
      <c r="B690" t="s">
        <v>164</v>
      </c>
      <c r="C690" t="s">
        <v>51</v>
      </c>
      <c r="D690" t="s">
        <v>223</v>
      </c>
      <c r="E690" s="2">
        <v>663</v>
      </c>
      <c r="F690" s="2">
        <v>125</v>
      </c>
      <c r="G690">
        <v>12431.25</v>
      </c>
      <c r="H690" s="2">
        <v>70443.75</v>
      </c>
      <c r="I690" s="2">
        <v>-9116.25</v>
      </c>
      <c r="J690" s="3">
        <v>44305</v>
      </c>
      <c r="K690" t="s">
        <v>67</v>
      </c>
      <c r="L690" t="s">
        <v>68</v>
      </c>
      <c r="M690">
        <v>2022</v>
      </c>
      <c r="N690" t="s">
        <v>165</v>
      </c>
      <c r="O690" t="s">
        <v>53</v>
      </c>
      <c r="P690" t="s">
        <v>46</v>
      </c>
    </row>
    <row r="691" spans="1:16" x14ac:dyDescent="0.3">
      <c r="A691" t="s">
        <v>42</v>
      </c>
      <c r="B691" t="s">
        <v>286</v>
      </c>
      <c r="C691" t="s">
        <v>51</v>
      </c>
      <c r="D691" t="s">
        <v>223</v>
      </c>
      <c r="E691" s="2">
        <v>914</v>
      </c>
      <c r="F691" s="2">
        <v>12</v>
      </c>
      <c r="G691">
        <v>1645.2</v>
      </c>
      <c r="H691" s="2">
        <v>9322.7999999999993</v>
      </c>
      <c r="I691" s="2">
        <v>6580.7999999999993</v>
      </c>
      <c r="J691" s="3">
        <v>44693</v>
      </c>
      <c r="K691" t="s">
        <v>104</v>
      </c>
      <c r="L691" t="s">
        <v>68</v>
      </c>
      <c r="M691">
        <v>2022</v>
      </c>
      <c r="N691" t="s">
        <v>224</v>
      </c>
      <c r="O691" t="s">
        <v>53</v>
      </c>
      <c r="P691" t="s">
        <v>41</v>
      </c>
    </row>
    <row r="692" spans="1:16" x14ac:dyDescent="0.3">
      <c r="A692" t="s">
        <v>37</v>
      </c>
      <c r="B692" t="s">
        <v>168</v>
      </c>
      <c r="C692" t="s">
        <v>56</v>
      </c>
      <c r="D692" t="s">
        <v>223</v>
      </c>
      <c r="E692" s="2">
        <v>865.5</v>
      </c>
      <c r="F692" s="2">
        <v>20</v>
      </c>
      <c r="G692">
        <v>2596.5</v>
      </c>
      <c r="H692" s="2">
        <v>14713.5</v>
      </c>
      <c r="I692" s="2">
        <v>6058.5</v>
      </c>
      <c r="J692" s="3">
        <v>44736</v>
      </c>
      <c r="K692" t="s">
        <v>146</v>
      </c>
      <c r="L692" t="s">
        <v>68</v>
      </c>
      <c r="M692">
        <v>2022</v>
      </c>
      <c r="N692" t="s">
        <v>169</v>
      </c>
      <c r="O692" t="s">
        <v>59</v>
      </c>
      <c r="P692" t="s">
        <v>54</v>
      </c>
    </row>
    <row r="693" spans="1:16" x14ac:dyDescent="0.3">
      <c r="A693" t="s">
        <v>25</v>
      </c>
      <c r="B693" t="s">
        <v>134</v>
      </c>
      <c r="C693" t="s">
        <v>56</v>
      </c>
      <c r="D693" t="s">
        <v>223</v>
      </c>
      <c r="E693" s="2">
        <v>492</v>
      </c>
      <c r="F693" s="2">
        <v>15</v>
      </c>
      <c r="G693">
        <v>1107</v>
      </c>
      <c r="H693" s="2">
        <v>6273</v>
      </c>
      <c r="I693" s="2">
        <v>1353</v>
      </c>
      <c r="J693" s="3">
        <v>44484</v>
      </c>
      <c r="K693" t="s">
        <v>85</v>
      </c>
      <c r="L693" t="s">
        <v>72</v>
      </c>
      <c r="M693">
        <v>2022</v>
      </c>
      <c r="N693" t="s">
        <v>135</v>
      </c>
      <c r="O693" t="s">
        <v>59</v>
      </c>
      <c r="P693" t="s">
        <v>54</v>
      </c>
    </row>
    <row r="694" spans="1:16" x14ac:dyDescent="0.3">
      <c r="A694" t="s">
        <v>25</v>
      </c>
      <c r="B694" t="s">
        <v>134</v>
      </c>
      <c r="C694" t="s">
        <v>56</v>
      </c>
      <c r="D694" t="s">
        <v>223</v>
      </c>
      <c r="E694" s="2">
        <v>1175</v>
      </c>
      <c r="F694" s="2">
        <v>15</v>
      </c>
      <c r="G694">
        <v>2643.75</v>
      </c>
      <c r="H694" s="2">
        <v>14981.25</v>
      </c>
      <c r="I694" s="2">
        <v>3231.25</v>
      </c>
      <c r="J694" s="3">
        <v>44660</v>
      </c>
      <c r="K694" t="s">
        <v>67</v>
      </c>
      <c r="L694" t="s">
        <v>68</v>
      </c>
      <c r="M694">
        <v>2022</v>
      </c>
      <c r="N694" t="s">
        <v>135</v>
      </c>
      <c r="O694" t="s">
        <v>59</v>
      </c>
      <c r="P694" t="s">
        <v>54</v>
      </c>
    </row>
    <row r="695" spans="1:16" x14ac:dyDescent="0.3">
      <c r="A695" t="s">
        <v>16</v>
      </c>
      <c r="B695" t="s">
        <v>284</v>
      </c>
      <c r="C695" t="s">
        <v>56</v>
      </c>
      <c r="D695" t="s">
        <v>223</v>
      </c>
      <c r="E695" s="2">
        <v>552</v>
      </c>
      <c r="F695" s="2">
        <v>125</v>
      </c>
      <c r="G695">
        <v>10350</v>
      </c>
      <c r="H695" s="2">
        <v>58650</v>
      </c>
      <c r="I695" s="2">
        <v>-7590</v>
      </c>
      <c r="J695" s="3">
        <v>44922</v>
      </c>
      <c r="K695" t="s">
        <v>75</v>
      </c>
      <c r="L695" t="s">
        <v>72</v>
      </c>
      <c r="M695">
        <v>2022</v>
      </c>
      <c r="N695" t="s">
        <v>175</v>
      </c>
      <c r="O695" t="s">
        <v>59</v>
      </c>
      <c r="P695" t="s">
        <v>32</v>
      </c>
    </row>
    <row r="696" spans="1:16" x14ac:dyDescent="0.3">
      <c r="A696" t="s">
        <v>37</v>
      </c>
      <c r="B696" t="s">
        <v>55</v>
      </c>
      <c r="C696" t="s">
        <v>56</v>
      </c>
      <c r="D696" t="s">
        <v>223</v>
      </c>
      <c r="E696" s="2">
        <v>293</v>
      </c>
      <c r="F696" s="2">
        <v>20</v>
      </c>
      <c r="G696">
        <v>879</v>
      </c>
      <c r="H696" s="2">
        <v>4981</v>
      </c>
      <c r="I696" s="2">
        <v>2051</v>
      </c>
      <c r="J696" s="3">
        <v>44540</v>
      </c>
      <c r="K696" t="s">
        <v>75</v>
      </c>
      <c r="L696" t="s">
        <v>72</v>
      </c>
      <c r="M696">
        <v>2022</v>
      </c>
      <c r="N696" t="s">
        <v>58</v>
      </c>
      <c r="O696" t="s">
        <v>59</v>
      </c>
      <c r="P696" t="s">
        <v>60</v>
      </c>
    </row>
    <row r="697" spans="1:16" x14ac:dyDescent="0.3">
      <c r="A697" t="s">
        <v>33</v>
      </c>
      <c r="B697" t="s">
        <v>303</v>
      </c>
      <c r="C697" t="s">
        <v>90</v>
      </c>
      <c r="D697" t="s">
        <v>223</v>
      </c>
      <c r="E697" s="2">
        <v>2475</v>
      </c>
      <c r="F697" s="2">
        <v>300</v>
      </c>
      <c r="G697">
        <v>111375</v>
      </c>
      <c r="H697" s="2">
        <v>631125</v>
      </c>
      <c r="I697" s="2">
        <v>12375</v>
      </c>
      <c r="J697" s="3">
        <v>44283</v>
      </c>
      <c r="K697" t="s">
        <v>82</v>
      </c>
      <c r="L697" t="s">
        <v>29</v>
      </c>
      <c r="M697">
        <v>2022</v>
      </c>
      <c r="N697" t="s">
        <v>165</v>
      </c>
      <c r="O697" t="s">
        <v>92</v>
      </c>
      <c r="P697" t="s">
        <v>46</v>
      </c>
    </row>
    <row r="698" spans="1:16" x14ac:dyDescent="0.3">
      <c r="A698" t="s">
        <v>33</v>
      </c>
      <c r="B698" t="s">
        <v>281</v>
      </c>
      <c r="C698" t="s">
        <v>90</v>
      </c>
      <c r="D698" t="s">
        <v>223</v>
      </c>
      <c r="E698" s="2">
        <v>546</v>
      </c>
      <c r="F698" s="2">
        <v>300</v>
      </c>
      <c r="G698">
        <v>24570</v>
      </c>
      <c r="H698" s="2">
        <v>139230</v>
      </c>
      <c r="I698" s="2">
        <v>2730</v>
      </c>
      <c r="J698" s="3">
        <v>44546</v>
      </c>
      <c r="K698" t="s">
        <v>75</v>
      </c>
      <c r="L698" t="s">
        <v>72</v>
      </c>
      <c r="M698">
        <v>2022</v>
      </c>
      <c r="N698" t="s">
        <v>255</v>
      </c>
      <c r="O698" t="s">
        <v>92</v>
      </c>
      <c r="P698" t="s">
        <v>54</v>
      </c>
    </row>
    <row r="699" spans="1:16" x14ac:dyDescent="0.3">
      <c r="A699" t="s">
        <v>37</v>
      </c>
      <c r="B699" t="s">
        <v>156</v>
      </c>
      <c r="C699" t="s">
        <v>18</v>
      </c>
      <c r="D699" t="s">
        <v>223</v>
      </c>
      <c r="E699" s="2">
        <v>1368</v>
      </c>
      <c r="F699" s="2">
        <v>7</v>
      </c>
      <c r="G699">
        <v>1436.4</v>
      </c>
      <c r="H699" s="2">
        <v>8139.6</v>
      </c>
      <c r="I699" s="2">
        <v>1299.6000000000004</v>
      </c>
      <c r="J699" s="3">
        <v>44673</v>
      </c>
      <c r="K699" t="s">
        <v>67</v>
      </c>
      <c r="L699" t="s">
        <v>68</v>
      </c>
      <c r="M699">
        <v>2022</v>
      </c>
      <c r="N699" t="s">
        <v>157</v>
      </c>
      <c r="O699" t="s">
        <v>23</v>
      </c>
      <c r="P699" t="s">
        <v>24</v>
      </c>
    </row>
    <row r="700" spans="1:16" x14ac:dyDescent="0.3">
      <c r="A700" t="s">
        <v>37</v>
      </c>
      <c r="B700" t="s">
        <v>38</v>
      </c>
      <c r="C700" t="s">
        <v>27</v>
      </c>
      <c r="D700" t="s">
        <v>223</v>
      </c>
      <c r="E700" s="2">
        <v>723</v>
      </c>
      <c r="F700" s="2">
        <v>7</v>
      </c>
      <c r="G700">
        <v>759.15000000000009</v>
      </c>
      <c r="H700" s="2">
        <v>4301.8500000000004</v>
      </c>
      <c r="I700" s="2">
        <v>686.85000000000014</v>
      </c>
      <c r="J700" s="3">
        <v>44589</v>
      </c>
      <c r="K700" t="s">
        <v>28</v>
      </c>
      <c r="L700" t="s">
        <v>29</v>
      </c>
      <c r="M700">
        <v>2022</v>
      </c>
      <c r="N700" t="s">
        <v>40</v>
      </c>
      <c r="O700" t="s">
        <v>31</v>
      </c>
      <c r="P700" t="s">
        <v>41</v>
      </c>
    </row>
    <row r="701" spans="1:16" x14ac:dyDescent="0.3">
      <c r="A701" t="s">
        <v>42</v>
      </c>
      <c r="B701" t="s">
        <v>301</v>
      </c>
      <c r="C701" t="s">
        <v>56</v>
      </c>
      <c r="D701" t="s">
        <v>223</v>
      </c>
      <c r="E701" s="2">
        <v>1806</v>
      </c>
      <c r="F701" s="2">
        <v>12</v>
      </c>
      <c r="G701">
        <v>3250.8</v>
      </c>
      <c r="H701" s="2">
        <v>18421.2</v>
      </c>
      <c r="I701" s="2">
        <v>13003.2</v>
      </c>
      <c r="J701" s="3">
        <v>44274</v>
      </c>
      <c r="K701" t="s">
        <v>82</v>
      </c>
      <c r="L701" t="s">
        <v>29</v>
      </c>
      <c r="M701">
        <v>2022</v>
      </c>
      <c r="N701" t="s">
        <v>207</v>
      </c>
      <c r="O701" t="s">
        <v>59</v>
      </c>
      <c r="P701"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15C7-8C5D-4219-8E0F-98DCB15ABE0F}">
  <dimension ref="K34"/>
  <sheetViews>
    <sheetView showGridLines="0" showRowColHeaders="0" zoomScale="70" zoomScaleNormal="70" zoomScaleSheetLayoutView="70" workbookViewId="0">
      <selection activeCell="M42" sqref="M42"/>
      <extLst>
        <ext xmlns:xlsdti="http://schemas.microsoft.com/office/spreadsheetml/2023/showDataTypeIcons" uri="{77bfe23e-c014-4d31-8a63-9c772dbf06b6}">
          <xlsdti:showDataTypeIcons visible="0"/>
        </ext>
      </extLst>
    </sheetView>
  </sheetViews>
  <sheetFormatPr defaultRowHeight="14.4" x14ac:dyDescent="0.3"/>
  <cols>
    <col min="1" max="15" width="8.88671875" style="4"/>
    <col min="16" max="16" width="8.88671875" style="4" customWidth="1"/>
    <col min="17" max="16384" width="8.88671875" style="4"/>
  </cols>
  <sheetData>
    <row r="34" spans="11:11" x14ac:dyDescent="0.3">
      <c r="K34" s="4" t="s">
        <v>305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Deep Sharma</dc:creator>
  <cp:lastModifiedBy>İnayətov Nurlan Elxan</cp:lastModifiedBy>
  <dcterms:created xsi:type="dcterms:W3CDTF">2024-01-17T04:19:05Z</dcterms:created>
  <dcterms:modified xsi:type="dcterms:W3CDTF">2025-12-27T18:27:13Z</dcterms:modified>
</cp:coreProperties>
</file>